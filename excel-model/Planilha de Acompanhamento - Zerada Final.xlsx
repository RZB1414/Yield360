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1ba4cdf09cd042/Desktop/"/>
    </mc:Choice>
  </mc:AlternateContent>
  <xr:revisionPtr revIDLastSave="194" documentId="8_{670A46CA-E9DE-4F3F-80DB-A38B1859E59F}" xr6:coauthVersionLast="47" xr6:coauthVersionMax="47" xr10:uidLastSave="{5629A281-4A0A-424D-B69D-91B27DFDAEFB}"/>
  <bookViews>
    <workbookView xWindow="-108" yWindow="-108" windowWidth="23256" windowHeight="12456" xr2:uid="{908E5AFC-8488-B54F-93D9-56AE2842AC77}"/>
  </bookViews>
  <sheets>
    <sheet name="Visão 360°" sheetId="13" r:id="rId1"/>
    <sheet name="FUTURO" sheetId="8" r:id="rId2"/>
    <sheet name="Controle" sheetId="9" r:id="rId3"/>
    <sheet name="Resultados" sheetId="10" r:id="rId4"/>
    <sheet name="SUCESSÓRIO" sheetId="14" r:id="rId5"/>
    <sheet name="Base PFi" sheetId="12" state="hidden" r:id="rId6"/>
  </sheets>
  <definedNames>
    <definedName name="_xlnm._FilterDatabase" localSheetId="0" hidden="1">'Visão 360°'!#REF!</definedName>
    <definedName name="_xlnm.Print_Area" localSheetId="3">Resultados!$A$1:$S$53</definedName>
    <definedName name="_xlnm.Print_Titles" localSheetId="0">'Visão 360°'!$1:$2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8" l="1"/>
  <c r="B47" i="13"/>
  <c r="B30" i="13"/>
  <c r="D12" i="13"/>
  <c r="D11" i="13"/>
  <c r="D5" i="13"/>
  <c r="B5" i="13"/>
  <c r="C11" i="8"/>
  <c r="B4" i="8"/>
  <c r="B10" i="9"/>
  <c r="C38" i="8"/>
  <c r="B16" i="9" l="1"/>
  <c r="B9" i="9"/>
  <c r="B5" i="14"/>
  <c r="B92" i="13"/>
  <c r="B6" i="9" s="1"/>
  <c r="B15" i="14"/>
  <c r="B18" i="14"/>
  <c r="B10" i="14"/>
  <c r="B6" i="14"/>
  <c r="B59" i="13"/>
  <c r="B60" i="13"/>
  <c r="B58" i="13"/>
  <c r="C32" i="8"/>
  <c r="B21" i="14" l="1"/>
  <c r="B73" i="13"/>
  <c r="B11" i="9" s="1"/>
  <c r="B17" i="9"/>
  <c r="B32" i="13"/>
  <c r="B23" i="13"/>
  <c r="B85" i="13" s="1"/>
  <c r="B17" i="14" s="1"/>
  <c r="B18" i="13"/>
  <c r="D10" i="13"/>
  <c r="D9" i="13"/>
  <c r="B40" i="13" l="1"/>
  <c r="M11" i="8"/>
  <c r="M14" i="8" s="1"/>
  <c r="B24" i="13"/>
  <c r="B84" i="13" s="1"/>
  <c r="B16" i="14" s="1"/>
  <c r="B22" i="14" s="1"/>
  <c r="B23" i="14" s="1"/>
  <c r="B48" i="13"/>
  <c r="B91" i="13" l="1"/>
  <c r="B25" i="14" s="1"/>
  <c r="B24" i="14"/>
  <c r="B4" i="9"/>
  <c r="K9" i="9"/>
  <c r="K8" i="9"/>
  <c r="B5" i="9" l="1"/>
  <c r="B26" i="14"/>
  <c r="B7" i="9" s="1"/>
  <c r="K4" i="9"/>
  <c r="K2" i="9"/>
  <c r="B18" i="9" l="1"/>
  <c r="G11" i="8" a="1"/>
  <c r="G11" i="8" s="1"/>
  <c r="B19" i="9" l="1"/>
  <c r="C18" i="9"/>
  <c r="C19" i="9" s="1"/>
  <c r="B20" i="9"/>
  <c r="T54" i="12" l="1"/>
  <c r="S54" i="12"/>
  <c r="P54" i="12"/>
  <c r="T53" i="12"/>
  <c r="S53" i="12"/>
  <c r="P53" i="12"/>
  <c r="T52" i="12"/>
  <c r="S52" i="12"/>
  <c r="P52" i="12"/>
  <c r="T51" i="12"/>
  <c r="S51" i="12"/>
  <c r="P51" i="12"/>
  <c r="T50" i="12"/>
  <c r="S50" i="12"/>
  <c r="P50" i="12"/>
  <c r="T49" i="12"/>
  <c r="S49" i="12"/>
  <c r="P49" i="12"/>
  <c r="T48" i="12"/>
  <c r="S48" i="12"/>
  <c r="P48" i="12"/>
  <c r="T47" i="12"/>
  <c r="S47" i="12"/>
  <c r="P47" i="12"/>
  <c r="T46" i="12"/>
  <c r="S46" i="12"/>
  <c r="P46" i="12"/>
  <c r="T45" i="12"/>
  <c r="S45" i="12"/>
  <c r="P45" i="12"/>
  <c r="T44" i="12"/>
  <c r="S44" i="12"/>
  <c r="P44" i="12"/>
  <c r="T43" i="12"/>
  <c r="S43" i="12"/>
  <c r="P43" i="12"/>
  <c r="T42" i="12"/>
  <c r="S42" i="12"/>
  <c r="P42" i="12"/>
  <c r="T41" i="12"/>
  <c r="S41" i="12"/>
  <c r="P41" i="12"/>
  <c r="T40" i="12"/>
  <c r="S40" i="12"/>
  <c r="P40" i="12"/>
  <c r="T39" i="12"/>
  <c r="S39" i="12"/>
  <c r="P39" i="12"/>
  <c r="T38" i="12"/>
  <c r="S38" i="12"/>
  <c r="P38" i="12"/>
  <c r="T37" i="12"/>
  <c r="S37" i="12"/>
  <c r="P37" i="12"/>
  <c r="T36" i="12"/>
  <c r="S36" i="12"/>
  <c r="P36" i="12"/>
  <c r="T35" i="12"/>
  <c r="S35" i="12"/>
  <c r="P35" i="12"/>
  <c r="T34" i="12"/>
  <c r="S34" i="12"/>
  <c r="P34" i="12"/>
  <c r="T33" i="12"/>
  <c r="S33" i="12"/>
  <c r="P33" i="12"/>
  <c r="T32" i="12"/>
  <c r="S32" i="12"/>
  <c r="P32" i="12"/>
  <c r="T31" i="12"/>
  <c r="S31" i="12"/>
  <c r="P31" i="12"/>
  <c r="T30" i="12"/>
  <c r="S30" i="12"/>
  <c r="P30" i="12"/>
  <c r="T29" i="12"/>
  <c r="S29" i="12"/>
  <c r="P29" i="12"/>
  <c r="T28" i="12"/>
  <c r="S28" i="12"/>
  <c r="P28" i="12"/>
  <c r="T27" i="12"/>
  <c r="S27" i="12"/>
  <c r="P27" i="12"/>
  <c r="T26" i="12"/>
  <c r="S26" i="12"/>
  <c r="P26" i="12"/>
  <c r="T25" i="12"/>
  <c r="S25" i="12"/>
  <c r="P25" i="12"/>
  <c r="T24" i="12"/>
  <c r="S24" i="12"/>
  <c r="P24" i="12"/>
  <c r="T23" i="12"/>
  <c r="S23" i="12"/>
  <c r="P23" i="12"/>
  <c r="T22" i="12"/>
  <c r="S22" i="12"/>
  <c r="P22" i="12"/>
  <c r="T21" i="12"/>
  <c r="S21" i="12"/>
  <c r="P21" i="12"/>
  <c r="T20" i="12"/>
  <c r="S20" i="12"/>
  <c r="P20" i="12"/>
  <c r="T19" i="12"/>
  <c r="S19" i="12"/>
  <c r="P19" i="12"/>
  <c r="T18" i="12"/>
  <c r="S18" i="12"/>
  <c r="P18" i="12"/>
  <c r="T17" i="12"/>
  <c r="S17" i="12"/>
  <c r="P17" i="12"/>
  <c r="T16" i="12"/>
  <c r="S16" i="12"/>
  <c r="P16" i="12"/>
  <c r="T15" i="12"/>
  <c r="S15" i="12"/>
  <c r="P15" i="12"/>
  <c r="T14" i="12"/>
  <c r="S14" i="12"/>
  <c r="P14" i="12"/>
  <c r="T13" i="12"/>
  <c r="S13" i="12"/>
  <c r="P13" i="12"/>
  <c r="T12" i="12"/>
  <c r="S12" i="12"/>
  <c r="P12" i="12"/>
  <c r="T11" i="12"/>
  <c r="S11" i="12"/>
  <c r="P11" i="12"/>
  <c r="T10" i="12"/>
  <c r="S10" i="12"/>
  <c r="P10" i="12"/>
  <c r="T9" i="12"/>
  <c r="S9" i="12"/>
  <c r="P9" i="12"/>
  <c r="T8" i="12"/>
  <c r="S8" i="12"/>
  <c r="P8" i="12"/>
  <c r="T7" i="12"/>
  <c r="S7" i="12"/>
  <c r="P7" i="12"/>
  <c r="T6" i="12"/>
  <c r="S6" i="12"/>
  <c r="P6" i="12"/>
  <c r="T5" i="12"/>
  <c r="S5" i="12"/>
  <c r="P5" i="12"/>
  <c r="T4" i="12"/>
  <c r="S4" i="12"/>
  <c r="P4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H4" i="12"/>
  <c r="E4" i="12"/>
  <c r="C2" i="12" l="1"/>
  <c r="F5" i="12"/>
  <c r="O4" i="12"/>
  <c r="O5" i="12" s="1"/>
  <c r="O6" i="12" l="1"/>
  <c r="F6" i="12"/>
  <c r="F7" i="12" l="1"/>
  <c r="O7" i="12"/>
  <c r="F8" i="12" l="1"/>
  <c r="O8" i="12"/>
  <c r="O9" i="12" l="1"/>
  <c r="F9" i="12"/>
  <c r="F10" i="12" l="1"/>
  <c r="O10" i="12"/>
  <c r="O11" i="12" l="1"/>
  <c r="F11" i="12"/>
  <c r="F12" i="12" l="1"/>
  <c r="O12" i="12"/>
  <c r="O13" i="12" l="1"/>
  <c r="F13" i="12"/>
  <c r="F14" i="12" l="1"/>
  <c r="O14" i="12"/>
  <c r="O15" i="12" l="1"/>
  <c r="F15" i="12"/>
  <c r="F16" i="12" l="1"/>
  <c r="O16" i="12"/>
  <c r="O17" i="12" l="1"/>
  <c r="F17" i="12"/>
  <c r="F18" i="12" l="1"/>
  <c r="O18" i="12"/>
  <c r="O19" i="12" l="1"/>
  <c r="F19" i="12"/>
  <c r="F20" i="12" l="1"/>
  <c r="O20" i="12"/>
  <c r="O21" i="12" l="1"/>
  <c r="F21" i="12"/>
  <c r="F22" i="12" l="1"/>
  <c r="O22" i="12"/>
  <c r="O23" i="12" l="1"/>
  <c r="F23" i="12"/>
  <c r="F24" i="12" l="1"/>
  <c r="O24" i="12"/>
  <c r="O25" i="12" l="1"/>
  <c r="F25" i="12"/>
  <c r="F26" i="12" l="1"/>
  <c r="O26" i="12"/>
  <c r="O27" i="12" l="1"/>
  <c r="F27" i="12"/>
  <c r="F28" i="12" l="1"/>
  <c r="O28" i="12"/>
  <c r="O29" i="12" l="1"/>
  <c r="F29" i="12"/>
  <c r="F30" i="12" l="1"/>
  <c r="O30" i="12"/>
  <c r="O31" i="12" l="1"/>
  <c r="O32" i="12" l="1"/>
  <c r="O33" i="12" l="1"/>
  <c r="O34" i="12" l="1"/>
  <c r="O35" i="12" l="1"/>
  <c r="O36" i="12" l="1"/>
  <c r="O37" i="12" l="1"/>
  <c r="O38" i="12" l="1"/>
  <c r="O39" i="12" l="1"/>
  <c r="O40" i="12" l="1"/>
  <c r="O41" i="12" l="1"/>
  <c r="O42" i="12" l="1"/>
  <c r="O43" i="12" l="1"/>
  <c r="O44" i="12" l="1"/>
  <c r="O45" i="12" l="1"/>
  <c r="O46" i="12" l="1"/>
  <c r="O47" i="12" l="1"/>
  <c r="O48" i="12" l="1"/>
  <c r="O49" i="12" l="1"/>
  <c r="O50" i="12" l="1"/>
  <c r="O51" i="12" l="1"/>
  <c r="O52" i="12" l="1"/>
  <c r="O53" i="12" l="1"/>
  <c r="O54" i="12" l="1"/>
  <c r="H5" i="12" l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10" i="9"/>
  <c r="I10" i="9"/>
  <c r="H4" i="9"/>
  <c r="I4" i="9"/>
  <c r="H5" i="9"/>
  <c r="I5" i="9"/>
  <c r="H6" i="9"/>
  <c r="I6" i="9"/>
  <c r="H7" i="9"/>
  <c r="I7" i="9"/>
  <c r="H8" i="9"/>
  <c r="I8" i="9"/>
  <c r="H9" i="9"/>
  <c r="I9" i="9"/>
  <c r="C4" i="12"/>
  <c r="M17" i="8"/>
  <c r="N4" i="8"/>
  <c r="K5" i="9" l="1"/>
  <c r="I11" i="8"/>
  <c r="G8" i="8"/>
  <c r="C3" i="12" s="1"/>
  <c r="C20" i="8"/>
  <c r="C29" i="8" l="1"/>
  <c r="C35" i="8" s="1"/>
  <c r="K11" i="8"/>
  <c r="Q4" i="12"/>
  <c r="R4" i="12" s="1"/>
  <c r="Q5" i="12" s="1"/>
  <c r="R5" i="12" s="1"/>
  <c r="J27" i="12"/>
  <c r="G27" i="12" s="1"/>
  <c r="I27" i="12" s="1"/>
  <c r="J29" i="12"/>
  <c r="G29" i="12" s="1"/>
  <c r="I29" i="12" s="1"/>
  <c r="J17" i="12"/>
  <c r="G17" i="12" s="1"/>
  <c r="I17" i="12" s="1"/>
  <c r="J9" i="12"/>
  <c r="G9" i="12" s="1"/>
  <c r="I9" i="12" s="1"/>
  <c r="J5" i="12"/>
  <c r="G5" i="12" s="1"/>
  <c r="I5" i="12" s="1"/>
  <c r="J25" i="12"/>
  <c r="G25" i="12" s="1"/>
  <c r="I25" i="12" s="1"/>
  <c r="J28" i="12"/>
  <c r="G28" i="12" s="1"/>
  <c r="I28" i="12" s="1"/>
  <c r="J16" i="12"/>
  <c r="G16" i="12" s="1"/>
  <c r="I16" i="12" s="1"/>
  <c r="J12" i="12"/>
  <c r="G12" i="12" s="1"/>
  <c r="I12" i="12" s="1"/>
  <c r="J8" i="12"/>
  <c r="G8" i="12" s="1"/>
  <c r="I8" i="12" s="1"/>
  <c r="J4" i="12"/>
  <c r="G4" i="12" s="1"/>
  <c r="I4" i="12" s="1"/>
  <c r="J30" i="12"/>
  <c r="G30" i="12" s="1"/>
  <c r="I30" i="12" s="1"/>
  <c r="J26" i="12"/>
  <c r="G26" i="12" s="1"/>
  <c r="I26" i="12" s="1"/>
  <c r="J22" i="12"/>
  <c r="G22" i="12" s="1"/>
  <c r="I22" i="12" s="1"/>
  <c r="J18" i="12"/>
  <c r="G18" i="12" s="1"/>
  <c r="I18" i="12" s="1"/>
  <c r="J14" i="12"/>
  <c r="G14" i="12" s="1"/>
  <c r="I14" i="12" s="1"/>
  <c r="J10" i="12"/>
  <c r="G10" i="12" s="1"/>
  <c r="I10" i="12" s="1"/>
  <c r="J6" i="12"/>
  <c r="G6" i="12" s="1"/>
  <c r="I6" i="12" s="1"/>
  <c r="J21" i="12"/>
  <c r="G21" i="12" s="1"/>
  <c r="I21" i="12" s="1"/>
  <c r="J24" i="12"/>
  <c r="G24" i="12" s="1"/>
  <c r="I24" i="12" s="1"/>
  <c r="J23" i="12"/>
  <c r="G23" i="12" s="1"/>
  <c r="I23" i="12" s="1"/>
  <c r="J19" i="12"/>
  <c r="G19" i="12" s="1"/>
  <c r="I19" i="12" s="1"/>
  <c r="J15" i="12"/>
  <c r="G15" i="12" s="1"/>
  <c r="I15" i="12" s="1"/>
  <c r="J11" i="12"/>
  <c r="G11" i="12" s="1"/>
  <c r="I11" i="12" s="1"/>
  <c r="J7" i="12"/>
  <c r="G7" i="12" s="1"/>
  <c r="I7" i="12" s="1"/>
  <c r="J13" i="12"/>
  <c r="G13" i="12" s="1"/>
  <c r="I13" i="12" s="1"/>
  <c r="J20" i="12"/>
  <c r="G20" i="12" s="1"/>
  <c r="I20" i="12" s="1"/>
  <c r="I8" i="8"/>
  <c r="B13" i="9" l="1"/>
  <c r="K6" i="9"/>
  <c r="K8" i="8"/>
  <c r="C41" i="8"/>
  <c r="Q6" i="12"/>
  <c r="K7" i="9" l="1"/>
  <c r="R6" i="12"/>
  <c r="Q7" i="12" s="1"/>
  <c r="R7" i="12" s="1"/>
  <c r="Q8" i="12" s="1"/>
  <c r="R8" i="12" l="1"/>
  <c r="Q9" i="12" s="1"/>
  <c r="R9" i="12" s="1"/>
  <c r="Q10" i="12" s="1"/>
  <c r="R10" i="12" l="1"/>
  <c r="Q11" i="12" s="1"/>
  <c r="R11" i="12" l="1"/>
  <c r="Q12" i="12" s="1"/>
  <c r="R12" i="12" l="1"/>
  <c r="Q13" i="12" s="1"/>
  <c r="R13" i="12" l="1"/>
  <c r="Q14" i="12" s="1"/>
  <c r="R14" i="12" s="1"/>
  <c r="Q15" i="12" s="1"/>
  <c r="R15" i="12" s="1"/>
  <c r="Q16" i="12" s="1"/>
  <c r="R16" i="12" l="1"/>
  <c r="Q17" i="12" s="1"/>
  <c r="R17" i="12" s="1"/>
  <c r="Q18" i="12" s="1"/>
  <c r="R18" i="12" l="1"/>
  <c r="Q19" i="12" s="1"/>
  <c r="R19" i="12" l="1"/>
  <c r="Q20" i="12" s="1"/>
  <c r="R20" i="12" l="1"/>
  <c r="Q21" i="12" s="1"/>
  <c r="R21" i="12" s="1"/>
  <c r="Q22" i="12" s="1"/>
  <c r="R22" i="12" s="1"/>
  <c r="Q23" i="12" s="1"/>
  <c r="R23" i="12" l="1"/>
  <c r="Q24" i="12" s="1"/>
  <c r="R24" i="12" l="1"/>
  <c r="Q25" i="12" s="1"/>
  <c r="R25" i="12" l="1"/>
  <c r="Q26" i="12" s="1"/>
  <c r="R26" i="12" s="1"/>
  <c r="Q27" i="12" s="1"/>
  <c r="R27" i="12" s="1"/>
  <c r="Q28" i="12" s="1"/>
  <c r="R28" i="12" l="1"/>
  <c r="Q29" i="12" s="1"/>
  <c r="R29" i="12" l="1"/>
  <c r="Q30" i="12" s="1"/>
  <c r="R30" i="12" s="1"/>
  <c r="Q31" i="12" s="1"/>
  <c r="R31" i="12" l="1"/>
  <c r="Q32" i="12" s="1"/>
  <c r="R32" i="12" l="1"/>
  <c r="Q33" i="12" s="1"/>
  <c r="R33" i="12" l="1"/>
  <c r="Q34" i="12" s="1"/>
  <c r="R34" i="12" s="1"/>
  <c r="Q35" i="12" s="1"/>
  <c r="R35" i="12" l="1"/>
  <c r="Q36" i="12" s="1"/>
  <c r="R36" i="12" l="1"/>
  <c r="Q37" i="12" s="1"/>
  <c r="R37" i="12" s="1"/>
  <c r="Q38" i="12" s="1"/>
  <c r="R38" i="12" l="1"/>
  <c r="Q39" i="12" s="1"/>
  <c r="R39" i="12" l="1"/>
  <c r="Q40" i="12" s="1"/>
  <c r="R40" i="12" s="1"/>
  <c r="Q41" i="12" s="1"/>
  <c r="R41" i="12" s="1"/>
  <c r="Q42" i="12" s="1"/>
  <c r="R42" i="12" l="1"/>
  <c r="Q43" i="12" s="1"/>
  <c r="R43" i="12" l="1"/>
  <c r="Q44" i="12" s="1"/>
  <c r="R44" i="12" s="1"/>
  <c r="Q45" i="12" s="1"/>
  <c r="R45" i="12" l="1"/>
  <c r="Q46" i="12" s="1"/>
  <c r="R46" i="12" s="1"/>
  <c r="Q47" i="12" s="1"/>
  <c r="R47" i="12" l="1"/>
  <c r="Q48" i="12" s="1"/>
  <c r="R48" i="12" s="1"/>
  <c r="Q49" i="12" s="1"/>
  <c r="R49" i="12" s="1"/>
  <c r="Q50" i="12" s="1"/>
  <c r="R50" i="12" l="1"/>
  <c r="Q51" i="12" s="1"/>
  <c r="R51" i="12" l="1"/>
  <c r="Q52" i="12" s="1"/>
  <c r="R52" i="12" s="1"/>
  <c r="Q53" i="12" s="1"/>
  <c r="R53" i="12" l="1"/>
  <c r="Q54" i="12" s="1"/>
  <c r="R5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Sposito</author>
    <author>Luiz Sene</author>
  </authors>
  <commentList>
    <comment ref="B4" authorId="0" shapeId="0" xr:uid="{77EE0DAD-2615-4CF5-BBCE-177EE0285B2E}">
      <text>
        <r>
          <rPr>
            <b/>
            <sz val="8"/>
            <color indexed="81"/>
            <rFont val="Segoe UI"/>
            <family val="2"/>
          </rPr>
          <t xml:space="preserve">Conservador
</t>
        </r>
        <r>
          <rPr>
            <sz val="8"/>
            <color indexed="81"/>
            <rFont val="Segoe UI"/>
            <family val="2"/>
          </rPr>
          <t>Prioriza segurança e preservação do capital.
Prefere investimentos com baixo risco.
Aceita rendimentos menores para evitar perdas.
Foca em renda fixa, como CDBs e Tesouro Direto.</t>
        </r>
        <r>
          <rPr>
            <b/>
            <sz val="8"/>
            <color indexed="81"/>
            <rFont val="Segoe UI"/>
            <family val="2"/>
          </rPr>
          <t xml:space="preserve">
Moderado
</t>
        </r>
        <r>
          <rPr>
            <sz val="8"/>
            <color indexed="81"/>
            <rFont val="Segoe UI"/>
            <family val="2"/>
          </rPr>
          <t>Busca equilíbrio entre segurança e rentabilidade.
Aceita um pouco mais de risco para melhorar os ganhos.
Investe grande parte em renda fixa e um pouco em renda variável.
Tolera pequenas oscilações de curto prazo, desde que controladas.</t>
        </r>
        <r>
          <rPr>
            <b/>
            <sz val="8"/>
            <color indexed="81"/>
            <rFont val="Segoe UI"/>
            <family val="2"/>
          </rPr>
          <t xml:space="preserve">
Arrojado
</t>
        </r>
        <r>
          <rPr>
            <sz val="8"/>
            <color indexed="81"/>
            <rFont val="Segoe UI"/>
            <family val="2"/>
          </rPr>
          <t>Tem maior tolerância a riscos e perdas momentâneas.
Busca rentabilidade superior no médio e longo prazo.
Investe boa parte em boa parte em renda variável.
Mantém parte menor em renda fixa para equilibrar.</t>
        </r>
        <r>
          <rPr>
            <b/>
            <sz val="8"/>
            <color indexed="81"/>
            <rFont val="Segoe UI"/>
            <family val="2"/>
          </rPr>
          <t xml:space="preserve">
Agressivo
</t>
        </r>
        <r>
          <rPr>
            <sz val="8"/>
            <color indexed="81"/>
            <rFont val="Segoe UI"/>
            <family val="2"/>
          </rPr>
          <t>Aceita altos riscos para buscar maior rentabilidade.
Investe majoritariamente em renda variável.
Tolera grandes oscilações no curto prazo.
Tem viés de longo prazo para seus investimentos.</t>
        </r>
      </text>
    </comment>
    <comment ref="B30" authorId="1" shapeId="0" xr:uid="{B2CB0BFC-F0F4-40C6-9716-662FE663A351}">
      <text>
        <r>
          <rPr>
            <b/>
            <sz val="9"/>
            <color indexed="81"/>
            <rFont val="Segoe UI"/>
            <family val="2"/>
          </rPr>
          <t>CLT e Funcionário público: salário x 13
Empresário e autônomos: salário x 12
Demais: anotar a especificidade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2" authorId="1" shapeId="0" xr:uid="{27353DC2-C43E-4CFF-A3A7-408DF1424B49}">
      <text>
        <r>
          <rPr>
            <b/>
            <sz val="9"/>
            <color indexed="81"/>
            <rFont val="Segoe UI"/>
            <family val="2"/>
          </rPr>
          <t>Fundação: construção das primeiras reservas e foco principal na reserva de emergência
Acúmulo de Patrimônio: fase com foco total e aportes e crescimento patrimonilal
Preservação de patrimônio: fase que se aproxima da aposentadoria, onde o foco será reestruturar a carteira pensando no usufruto, portando uma carteira mais conservadora
Usufruto: foco em retiradas e estratégias que otimizem os custos com impostos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56" authorId="1" shapeId="0" xr:uid="{E49699A0-8309-41FA-A0EC-7ADDAB5C8597}">
      <text>
        <r>
          <rPr>
            <b/>
            <sz val="12"/>
            <color indexed="81"/>
            <rFont val="Segoe UI"/>
            <family val="2"/>
          </rPr>
          <t>Sugestão baseada em capacidade financeira + emocional, além de alinhamento com o horizonte de investimento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56" authorId="1" shapeId="0" xr:uid="{56DA0C99-0126-484D-A3FE-B2239742BE9A}">
      <text>
        <r>
          <rPr>
            <b/>
            <sz val="9"/>
            <color indexed="81"/>
            <rFont val="Segoe UI"/>
            <family val="2"/>
          </rPr>
          <t xml:space="preserve">Conservador
</t>
        </r>
        <r>
          <rPr>
            <sz val="9"/>
            <color indexed="81"/>
            <rFont val="Segoe UI"/>
            <family val="2"/>
          </rPr>
          <t>Prioriza segurança e preservação do capital.
Prefere investimentos com baixo risco.
Aceita rendimentos menores para evitar perdas.
Foca em renda fixa, como CDBs e Tesouro Direto.</t>
        </r>
        <r>
          <rPr>
            <b/>
            <sz val="9"/>
            <color indexed="81"/>
            <rFont val="Segoe UI"/>
            <family val="2"/>
          </rPr>
          <t xml:space="preserve">
Moderado
</t>
        </r>
        <r>
          <rPr>
            <sz val="9"/>
            <color indexed="81"/>
            <rFont val="Segoe UI"/>
            <family val="2"/>
          </rPr>
          <t>Busca equilíbrio entre segurança e rentabilidade.
Aceita um pouco mais de risco para melhorar os ganhos.
Investe grande parte em renda fixa e um pouco em renda variável.
Tolera pequenas oscilações de curto prazo, desde que controladas.</t>
        </r>
        <r>
          <rPr>
            <b/>
            <sz val="9"/>
            <color indexed="81"/>
            <rFont val="Segoe UI"/>
            <family val="2"/>
          </rPr>
          <t xml:space="preserve">
Arrojado
</t>
        </r>
        <r>
          <rPr>
            <sz val="9"/>
            <color indexed="81"/>
            <rFont val="Segoe UI"/>
            <family val="2"/>
          </rPr>
          <t>Tem maior tolerância a riscos e perdas momentâneas.
Busca rentabilidade superior no médio e longo prazo.
Investe boa parte em boa parte em renda variável.
Mantém parte menor em renda fixa para equilibrar.</t>
        </r>
        <r>
          <rPr>
            <b/>
            <sz val="9"/>
            <color indexed="81"/>
            <rFont val="Segoe UI"/>
            <family val="2"/>
          </rPr>
          <t xml:space="preserve">
Agressivo
</t>
        </r>
        <r>
          <rPr>
            <sz val="9"/>
            <color indexed="81"/>
            <rFont val="Segoe UI"/>
            <family val="2"/>
          </rPr>
          <t xml:space="preserve">Aceita altos riscos para buscar maior rentabilidade.
Investe majoritariamente em renda variável.
Tolera grandes oscilações no curto prazo.
Tem viés de longo prazo para seus investimentos.
</t>
        </r>
      </text>
    </comment>
    <comment ref="B73" authorId="1" shapeId="0" xr:uid="{C8677F7D-7A10-45DD-B179-DEE923A3B888}">
      <text>
        <r>
          <rPr>
            <b/>
            <sz val="9"/>
            <color indexed="81"/>
            <rFont val="Segoe UI"/>
            <family val="2"/>
          </rPr>
          <t>Valor que resgatando o objetivo todo mês, com uma rentabilidade de 0,5% a.m., exaurisse todo o PL no prazo estimado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Sene</author>
  </authors>
  <commentList>
    <comment ref="A6" authorId="0" shapeId="0" xr:uid="{37052EB7-7EA1-4754-900F-E8B96A20B8AE}">
      <text>
        <r>
          <rPr>
            <b/>
            <sz val="9"/>
            <color indexed="81"/>
            <rFont val="Segoe UI"/>
            <family val="2"/>
          </rPr>
          <t>VGBL e Seguro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7" authorId="0" shapeId="0" xr:uid="{EDB61E5F-3779-46FB-9576-90B9A8E2B3C1}">
      <text>
        <r>
          <rPr>
            <b/>
            <sz val="9"/>
            <color indexed="81"/>
            <rFont val="Segoe UI"/>
            <family val="2"/>
          </rPr>
          <t xml:space="preserve">Cobertura total necessária - (Seguro de vida e VGBL)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FB7967-2BA8-4748-8E5D-B66F5C69ED79}" keepAlive="1" name="Consulta - Texto Exibido" description="Conexão com a consulta 'Texto Exibido' na pasta de trabalho." type="5" refreshedVersion="0" background="1" saveData="1">
    <dbPr connection="Provider=Microsoft.Mashup.OleDb.1;Data Source=$Workbook$;Location=&quot;Texto Exibido&quot;;Extended Properties=&quot;&quot;" command="SELECT * FROM [Texto Exibid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<sst xmlns="http://schemas.openxmlformats.org/spreadsheetml/2006/main" count="255" uniqueCount="199">
  <si>
    <t>Regime de trabalho</t>
  </si>
  <si>
    <t>Nascimento</t>
  </si>
  <si>
    <t>Idade</t>
  </si>
  <si>
    <t>Profissão</t>
  </si>
  <si>
    <t>Nome</t>
  </si>
  <si>
    <t>Não</t>
  </si>
  <si>
    <t>Sim</t>
  </si>
  <si>
    <t>Previdência VGBL</t>
  </si>
  <si>
    <t>Patrimônio Exposto a Inventário</t>
  </si>
  <si>
    <t> </t>
  </si>
  <si>
    <t>Asset Allocation</t>
  </si>
  <si>
    <t>Nome:</t>
  </si>
  <si>
    <t>Data Atual</t>
  </si>
  <si>
    <t>Fase de Acúmulo</t>
  </si>
  <si>
    <t>Qual seu perfil de risco?</t>
  </si>
  <si>
    <t>Taxa Nominal (a.a.)</t>
  </si>
  <si>
    <t>Valor Nominal Final</t>
  </si>
  <si>
    <t>Retorno Total Nominal</t>
  </si>
  <si>
    <t>Patrimônio Atual</t>
  </si>
  <si>
    <t>Taxa Real (a.a.)</t>
  </si>
  <si>
    <t>Valor Real Final</t>
  </si>
  <si>
    <t>Retorno Total Real</t>
  </si>
  <si>
    <t>Idade Atual:</t>
  </si>
  <si>
    <t>Anos</t>
  </si>
  <si>
    <t>Idade Objetivo:</t>
  </si>
  <si>
    <t>Tempo de Contribuição (Anos):</t>
  </si>
  <si>
    <t>Valor Total Investido</t>
  </si>
  <si>
    <t>Fase de Usufruto</t>
  </si>
  <si>
    <t>Taxa de Juros real</t>
  </si>
  <si>
    <t>RENDA PASSIVA POTENCIAL (PL)</t>
  </si>
  <si>
    <t>INSS + Outras receitas</t>
  </si>
  <si>
    <t>RENDA PASSIVA POTENCIAL (PL + INSS)</t>
  </si>
  <si>
    <t>Objetivo Gasto Mensal:</t>
  </si>
  <si>
    <t xml:space="preserve">Superávit / Déficit </t>
  </si>
  <si>
    <t>PLANEJAMENTO INICIAL</t>
  </si>
  <si>
    <t xml:space="preserve">Inflação (IPCA) médio - 20 anos (a.a.) = </t>
  </si>
  <si>
    <t>Ano</t>
  </si>
  <si>
    <t>Camadas de Proteção</t>
  </si>
  <si>
    <t>Etapas</t>
  </si>
  <si>
    <t>Necessidade</t>
  </si>
  <si>
    <t>Coberto</t>
  </si>
  <si>
    <t>Nec</t>
  </si>
  <si>
    <t>Cob</t>
  </si>
  <si>
    <t>Plano de Saúde</t>
  </si>
  <si>
    <t>Seguro de Vida</t>
  </si>
  <si>
    <t>IDADE</t>
  </si>
  <si>
    <t>Juros</t>
  </si>
  <si>
    <t>Total Investido</t>
  </si>
  <si>
    <t>Total Juros</t>
  </si>
  <si>
    <t>TotalAcumulado</t>
  </si>
  <si>
    <t>ANO</t>
  </si>
  <si>
    <t>PL</t>
  </si>
  <si>
    <t>RENDA ANO</t>
  </si>
  <si>
    <t>GASTO ANO</t>
  </si>
  <si>
    <t>GASTO MÊS</t>
  </si>
  <si>
    <t>Aportes mensais acordados:</t>
  </si>
  <si>
    <t>Autônomo</t>
  </si>
  <si>
    <t>Qual o dia do aporte acordado?</t>
  </si>
  <si>
    <t>Aportes acordados</t>
  </si>
  <si>
    <t>Aportes</t>
  </si>
  <si>
    <t>Acordado por mês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</si>
  <si>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</si>
  <si>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</si>
  <si>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</si>
  <si>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</si>
  <si>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</si>
  <si>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</si>
  <si>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</si>
  <si>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</si>
  <si>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 xml:space="preserve"> Efetivo</t>
  </si>
  <si>
    <t>Total aportado</t>
  </si>
  <si>
    <t>Quanto falta</t>
  </si>
  <si>
    <t>CONTROLE</t>
  </si>
  <si>
    <t>Acordado total</t>
  </si>
  <si>
    <t>Quanto superou</t>
  </si>
  <si>
    <t>Cobertura para doenças graves</t>
  </si>
  <si>
    <t>Cobertura para invalidez total</t>
  </si>
  <si>
    <t>Cirurgias</t>
  </si>
  <si>
    <t>Diária por internação</t>
  </si>
  <si>
    <t>DIT (diária por incapacidade temporária)</t>
  </si>
  <si>
    <t>Blindagem Patrimonial</t>
  </si>
  <si>
    <t>Anos de cobertura</t>
  </si>
  <si>
    <t>Cobertura adicional - educação e dependentes</t>
  </si>
  <si>
    <t>Possui interesse?</t>
  </si>
  <si>
    <t>Valor do auxílio mensal</t>
  </si>
  <si>
    <t xml:space="preserve">Cobertura adicional </t>
  </si>
  <si>
    <t xml:space="preserve">RE - 100% </t>
  </si>
  <si>
    <t>Cobertura Adicional</t>
  </si>
  <si>
    <t>Proteção Invalidez Ideal (0,5% a.m.)</t>
  </si>
  <si>
    <t>Proteção Invalidez Atual</t>
  </si>
  <si>
    <t>Valor ideal para cobertura adicional</t>
  </si>
  <si>
    <t>Simplificada</t>
  </si>
  <si>
    <t>VISÃO 360° | Diagnóstico e Plano Patrimonial</t>
  </si>
  <si>
    <t>1. INFORMAÇÕES DO CLIENTE</t>
  </si>
  <si>
    <t>Perfil do Investidor</t>
  </si>
  <si>
    <t>2. INFORMAÇÕES FAMILIARES</t>
  </si>
  <si>
    <t>Parentesco</t>
  </si>
  <si>
    <t>Observações / Comentários</t>
  </si>
  <si>
    <t>Benchmark (referência para longo prazo)</t>
  </si>
  <si>
    <t>Itens validados? Comente, se necessário</t>
  </si>
  <si>
    <t>Ativos - Financeiros (bancos, corretoras etc.)</t>
  </si>
  <si>
    <t>Ativos - Imobilizados (imóveis, carros etc.)</t>
  </si>
  <si>
    <t>Ativos - Outros (comente)</t>
  </si>
  <si>
    <t>Ativos - Total</t>
  </si>
  <si>
    <t>Passivos - Empréstimos</t>
  </si>
  <si>
    <t>Passivos - Financiamentos</t>
  </si>
  <si>
    <t>Passivos - Consórcios</t>
  </si>
  <si>
    <t>Passivos - Outros (comente)</t>
  </si>
  <si>
    <t>Passivos - Total</t>
  </si>
  <si>
    <t>Patrimônio Líquido</t>
  </si>
  <si>
    <t>Tipo de declaração de IR</t>
  </si>
  <si>
    <t>Ganho mensal aproximado</t>
  </si>
  <si>
    <t>Ganho anual aproximado</t>
  </si>
  <si>
    <t>Despesa mensal aproximada</t>
  </si>
  <si>
    <t>Despesa anual aproximada</t>
  </si>
  <si>
    <t>Reserva de emergência - Já possui? Comente</t>
  </si>
  <si>
    <t>Reserva de emergência - Valor atual</t>
  </si>
  <si>
    <t>Idade na data de contratação da consultoria</t>
  </si>
  <si>
    <t>Valor inicial sob consultoria</t>
  </si>
  <si>
    <t>Qual a sua fase de vida? (foco financeiro)</t>
  </si>
  <si>
    <t>Quantos anos pretende ficar nesta fase?</t>
  </si>
  <si>
    <t>Qual é o aporte mensal acordado?</t>
  </si>
  <si>
    <t>Aporte anual</t>
  </si>
  <si>
    <t>% de aporte sobre ganho anual</t>
  </si>
  <si>
    <t>Quer renda dos investimentos na aposentadoria?</t>
  </si>
  <si>
    <t>Se sim, qual a renda mensal desejada?</t>
  </si>
  <si>
    <t>Tem renda extra prevista? (INSS, aluguéis etc.)</t>
  </si>
  <si>
    <t>Se sim, qual a renda mensal prevista?</t>
  </si>
  <si>
    <t>Existem outros objetivos? Se sim, comente</t>
  </si>
  <si>
    <t>8. PLANEJAMENTO SUCESSÓRIO</t>
  </si>
  <si>
    <t>Patrimônio líquido (sujeito a inventário)</t>
  </si>
  <si>
    <t>Se sim, qual o regime de bens?</t>
  </si>
  <si>
    <t>Potenciais conflitos na sucessão? Se sim, comente</t>
  </si>
  <si>
    <t>Você tem testamento?</t>
  </si>
  <si>
    <t>Já fez ou faz doações em vida?</t>
  </si>
  <si>
    <t>Você tem holding patrimonial?</t>
  </si>
  <si>
    <t>Você tem negócios offshore? (conta, empresa etc.)</t>
  </si>
  <si>
    <t>Valor atual disponível para inventário</t>
  </si>
  <si>
    <t>Capacidade financeira</t>
  </si>
  <si>
    <t xml:space="preserve">Prazo </t>
  </si>
  <si>
    <t>Perfil sugerido</t>
  </si>
  <si>
    <t>3. BALANÇO PATRIMONIAL</t>
  </si>
  <si>
    <t>4. DADOS ORÇAMENTÁRIOS</t>
  </si>
  <si>
    <t>5. OBJETIVOS E PLANO DE INVESTIMENTOS</t>
  </si>
  <si>
    <t>6. VALIDAÇÃO DO PERFIL DO INVESTIDOR</t>
  </si>
  <si>
    <t>Reserva de emergência - Necessidade</t>
  </si>
  <si>
    <t>Reserva Adicional - objetivo de curto prazo</t>
  </si>
  <si>
    <t>Acúmulo de Patrimônio</t>
  </si>
  <si>
    <t>Aportes adicionais (Férias, PLR, Bônus, etc.)</t>
  </si>
  <si>
    <t>PGBL?</t>
  </si>
  <si>
    <t>Capacidade emocional</t>
  </si>
  <si>
    <t>7. BLINDAGEM PATRIMONIAL</t>
  </si>
  <si>
    <t>CHECKUP DE PLANEJAMENTO SUCESSÓRIO (Brasil)</t>
  </si>
  <si>
    <t>Gerado em 22/09/2025 – Modelo didático (valide exceções com advogado/tabelião).</t>
  </si>
  <si>
    <t>1) DADOS E PERGUNTAS ESSENCIAIS</t>
  </si>
  <si>
    <t>Estado civil</t>
  </si>
  <si>
    <t>Regime de bens</t>
  </si>
  <si>
    <t>Separação Obrigatória (art. 1.641 CC)?</t>
  </si>
  <si>
    <t>Aplicar Súmula 377 do STF? (comunicação dos aquestos)</t>
  </si>
  <si>
    <t>Tem filhos (descendentes)?</t>
  </si>
  <si>
    <t>Qtd. de filhos</t>
  </si>
  <si>
    <t>Ascendentes vivos (pais)?</t>
  </si>
  <si>
    <t>Observação (testamento, doações, cláusulas…)</t>
  </si>
  <si>
    <t>2) PATRIMÔNIO PARA CÁLCULO</t>
  </si>
  <si>
    <t>Bens COMUNS (aquestos) – total do casal</t>
  </si>
  <si>
    <t>Bens PARTICULARES do falecido</t>
  </si>
  <si>
    <t>DÍVIDAS dedutíveis do falecido</t>
  </si>
  <si>
    <t>Recursos FORA do inventário (seguro de vida com beneficiário, VGBL/prev. privada etc.) – para custear inventário</t>
  </si>
  <si>
    <t>3) CÁLCULO AUTOMÁTICO</t>
  </si>
  <si>
    <t>Meação do cônjuge/companheiro</t>
  </si>
  <si>
    <t>ESPÓLIO BRUTO (vai para inventário)</t>
  </si>
  <si>
    <t>ESPÓLIO LÍQUIDO (após dívidas)</t>
  </si>
  <si>
    <t>CUSTO ESTIMADO DO INVENTÁRIO (20% da base líquida)</t>
  </si>
  <si>
    <t>Recursos disponíveis para custas (fora do inventário)</t>
  </si>
  <si>
    <t>NECESSIDADE ADICIONAL para inventário</t>
  </si>
  <si>
    <t>Aporta com recorrência</t>
  </si>
  <si>
    <t>Quantidade de filhos</t>
  </si>
  <si>
    <t xml:space="preserve">Bens PARTICULARES </t>
  </si>
  <si>
    <t>VGBL</t>
  </si>
  <si>
    <t>Dívidas</t>
  </si>
  <si>
    <t>Fihos?</t>
  </si>
  <si>
    <t>Seguro de vida</t>
  </si>
  <si>
    <t>Custo estimado com inventário</t>
  </si>
  <si>
    <t>Necessidade adicional para inventário</t>
  </si>
  <si>
    <t>Sucessório</t>
  </si>
  <si>
    <t xml:space="preserve">Blindagem </t>
  </si>
  <si>
    <t>Evolução em relação a liberdade financeira</t>
  </si>
  <si>
    <t>Solteiro</t>
  </si>
  <si>
    <t>Não Aplicável</t>
  </si>
  <si>
    <t>Cobertura atual para legado</t>
  </si>
  <si>
    <t>Atleta de Voleibol</t>
  </si>
  <si>
    <t>Moderado</t>
  </si>
  <si>
    <t>Salário: 200k/9</t>
  </si>
  <si>
    <t>Janeiro</t>
  </si>
  <si>
    <t>Dezembro</t>
  </si>
  <si>
    <t>Novembro</t>
  </si>
  <si>
    <t>Fevereiro</t>
  </si>
  <si>
    <t>Exemplo: possui previdência fora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</si>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</sst>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[$-F800]dddd\,\ mmmm\ dd\,\ yyyy"/>
    <numFmt numFmtId="166" formatCode="0.0"/>
    <numFmt numFmtId="167" formatCode="0.000%"/>
  </numFmts>
  <fonts count="6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4"/>
      <color theme="1"/>
      <name val="Aptos Display"/>
      <family val="2"/>
      <scheme val="major"/>
    </font>
    <font>
      <b/>
      <sz val="36"/>
      <color theme="0"/>
      <name val="AriaL"/>
      <family val="2"/>
    </font>
    <font>
      <b/>
      <sz val="24"/>
      <color theme="1"/>
      <name val="Aptos Narrow"/>
      <family val="2"/>
      <scheme val="minor"/>
    </font>
    <font>
      <b/>
      <sz val="16"/>
      <color rgb="FF00003E"/>
      <name val="Aptos Narrow"/>
      <family val="2"/>
      <scheme val="minor"/>
    </font>
    <font>
      <sz val="10"/>
      <color rgb="FF00003E"/>
      <name val="Aptos Narrow"/>
      <family val="2"/>
      <scheme val="minor"/>
    </font>
    <font>
      <sz val="16"/>
      <color rgb="FF00003E"/>
      <name val="Aptos Narrow"/>
      <family val="2"/>
      <scheme val="minor"/>
    </font>
    <font>
      <b/>
      <sz val="12"/>
      <color rgb="FF00003E"/>
      <name val="Aptos Narrow"/>
      <family val="2"/>
      <scheme val="minor"/>
    </font>
    <font>
      <b/>
      <sz val="14"/>
      <color rgb="FF00003E"/>
      <name val="Aptos Narrow"/>
      <family val="2"/>
      <scheme val="minor"/>
    </font>
    <font>
      <sz val="11"/>
      <color rgb="FF00003E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1"/>
      <name val="Aptos Display"/>
      <family val="2"/>
      <scheme val="major"/>
    </font>
    <font>
      <sz val="11"/>
      <color theme="1" tint="4.9989318521683403E-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rial"/>
      <family val="2"/>
    </font>
    <font>
      <b/>
      <sz val="26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b/>
      <sz val="8"/>
      <color indexed="81"/>
      <name val="Segoe UI"/>
      <family val="2"/>
    </font>
    <font>
      <sz val="8"/>
      <color indexed="81"/>
      <name val="Segoe UI"/>
      <family val="2"/>
    </font>
    <font>
      <b/>
      <sz val="11"/>
      <color rgb="FF0070C0"/>
      <name val="Calibri"/>
      <family val="2"/>
    </font>
    <font>
      <b/>
      <sz val="12"/>
      <color theme="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i/>
      <sz val="9"/>
      <name val="Calibri"/>
      <family val="2"/>
    </font>
    <font>
      <b/>
      <sz val="12"/>
      <color indexed="81"/>
      <name val="Segoe UI"/>
      <family val="2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3" tint="0.499984740745262"/>
      <name val="Aptos Narrow"/>
      <family val="2"/>
      <scheme val="minor"/>
    </font>
    <font>
      <sz val="11"/>
      <color theme="3" tint="0.499984740745262"/>
      <name val="Arial"/>
      <family val="2"/>
    </font>
    <font>
      <b/>
      <sz val="16"/>
      <color theme="3" tint="0.74999237037263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A6A6A6"/>
      </patternFill>
    </fill>
    <fill>
      <patternFill patternType="solid">
        <fgColor rgb="FF215C98"/>
        <bgColor theme="1"/>
      </patternFill>
    </fill>
    <fill>
      <patternFill patternType="solid">
        <fgColor theme="3" tint="0.89999084444715716"/>
        <bgColor theme="0" tint="-0.14999847407452621"/>
      </patternFill>
    </fill>
    <fill>
      <patternFill patternType="solid">
        <fgColor rgb="FF215C98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2" tint="-0.499984740745262"/>
        <bgColor theme="1"/>
      </patternFill>
    </fill>
    <fill>
      <patternFill patternType="solid">
        <fgColor theme="1"/>
        <bgColor theme="0" tint="-0.14999847407452621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 style="medium">
        <color rgb="FF00003E"/>
      </right>
      <top/>
      <bottom/>
      <diagonal/>
    </border>
    <border>
      <left style="medium">
        <color rgb="FF00003E"/>
      </left>
      <right/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</borders>
  <cellStyleXfs count="20">
    <xf numFmtId="0" fontId="0" fillId="0" borderId="0"/>
    <xf numFmtId="44" fontId="6" fillId="0" borderId="0" applyFont="0" applyFill="0" applyBorder="0" applyAlignment="0" applyProtection="0"/>
    <xf numFmtId="0" fontId="7" fillId="2" borderId="0" applyNumberFormat="0" applyBorder="0" applyAlignment="0" applyProtection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</cellStyleXfs>
  <cellXfs count="284">
    <xf numFmtId="0" fontId="0" fillId="0" borderId="0" xfId="0"/>
    <xf numFmtId="0" fontId="0" fillId="3" borderId="0" xfId="0" applyFill="1"/>
    <xf numFmtId="0" fontId="7" fillId="3" borderId="0" xfId="0" applyFont="1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5" fillId="12" borderId="0" xfId="3" applyFont="1" applyFill="1" applyAlignment="1">
      <alignment horizontal="center" vertical="center"/>
    </xf>
    <xf numFmtId="0" fontId="21" fillId="3" borderId="4" xfId="0" applyFont="1" applyFill="1" applyBorder="1" applyAlignment="1">
      <alignment horizontal="center"/>
    </xf>
    <xf numFmtId="0" fontId="20" fillId="3" borderId="0" xfId="0" applyFont="1" applyFill="1" applyAlignment="1">
      <alignment horizontal="left"/>
    </xf>
    <xf numFmtId="0" fontId="25" fillId="3" borderId="0" xfId="0" applyFont="1" applyFill="1" applyAlignment="1">
      <alignment horizontal="left"/>
    </xf>
    <xf numFmtId="0" fontId="25" fillId="3" borderId="0" xfId="0" applyFont="1" applyFill="1" applyAlignment="1">
      <alignment horizontal="left" vertical="center"/>
    </xf>
    <xf numFmtId="43" fontId="23" fillId="3" borderId="11" xfId="8" applyFont="1" applyFill="1" applyBorder="1" applyAlignment="1" applyProtection="1">
      <alignment horizontal="center" vertical="center"/>
      <protection locked="0"/>
    </xf>
    <xf numFmtId="10" fontId="20" fillId="14" borderId="11" xfId="0" applyNumberFormat="1" applyFont="1" applyFill="1" applyBorder="1" applyAlignment="1" applyProtection="1">
      <alignment horizontal="right" vertical="center"/>
      <protection hidden="1"/>
    </xf>
    <xf numFmtId="0" fontId="20" fillId="3" borderId="0" xfId="0" applyFont="1" applyFill="1" applyAlignment="1">
      <alignment horizontal="center" vertical="center"/>
    </xf>
    <xf numFmtId="44" fontId="20" fillId="14" borderId="11" xfId="5" applyFont="1" applyFill="1" applyBorder="1" applyAlignment="1" applyProtection="1">
      <alignment horizontal="center" vertical="center"/>
      <protection hidden="1"/>
    </xf>
    <xf numFmtId="0" fontId="0" fillId="3" borderId="4" xfId="0" applyFill="1" applyBorder="1"/>
    <xf numFmtId="0" fontId="6" fillId="3" borderId="0" xfId="0" applyFont="1" applyFill="1"/>
    <xf numFmtId="0" fontId="20" fillId="3" borderId="0" xfId="0" applyFont="1" applyFill="1" applyAlignment="1">
      <alignment vertical="top"/>
    </xf>
    <xf numFmtId="0" fontId="6" fillId="3" borderId="5" xfId="0" applyFont="1" applyFill="1" applyBorder="1"/>
    <xf numFmtId="14" fontId="22" fillId="3" borderId="0" xfId="0" applyNumberFormat="1" applyFont="1" applyFill="1" applyAlignment="1">
      <alignment horizontal="left" vertical="top"/>
    </xf>
    <xf numFmtId="14" fontId="23" fillId="3" borderId="0" xfId="0" applyNumberFormat="1" applyFont="1" applyFill="1" applyAlignment="1">
      <alignment horizontal="left" vertical="top"/>
    </xf>
    <xf numFmtId="0" fontId="24" fillId="3" borderId="0" xfId="0" applyFont="1" applyFill="1"/>
    <xf numFmtId="0" fontId="0" fillId="3" borderId="6" xfId="0" applyFill="1" applyBorder="1" applyAlignment="1">
      <alignment vertical="center"/>
    </xf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0" fontId="20" fillId="3" borderId="11" xfId="0" applyNumberFormat="1" applyFont="1" applyFill="1" applyBorder="1" applyAlignment="1" applyProtection="1">
      <alignment horizontal="right" vertical="center"/>
      <protection hidden="1"/>
    </xf>
    <xf numFmtId="44" fontId="20" fillId="3" borderId="11" xfId="5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Alignment="1">
      <alignment vertical="center"/>
    </xf>
    <xf numFmtId="0" fontId="0" fillId="3" borderId="0" xfId="0" applyFill="1" applyAlignment="1">
      <alignment horizontal="left"/>
    </xf>
    <xf numFmtId="0" fontId="25" fillId="3" borderId="0" xfId="0" applyFont="1" applyFill="1"/>
    <xf numFmtId="0" fontId="26" fillId="3" borderId="0" xfId="0" applyFont="1" applyFill="1"/>
    <xf numFmtId="0" fontId="27" fillId="3" borderId="0" xfId="0" applyFont="1" applyFill="1" applyAlignment="1">
      <alignment vertical="center"/>
    </xf>
    <xf numFmtId="0" fontId="27" fillId="3" borderId="9" xfId="0" applyFont="1" applyFill="1" applyBorder="1" applyAlignment="1">
      <alignment vertical="center"/>
    </xf>
    <xf numFmtId="0" fontId="27" fillId="3" borderId="5" xfId="0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/>
    </xf>
    <xf numFmtId="1" fontId="20" fillId="3" borderId="11" xfId="0" applyNumberFormat="1" applyFont="1" applyFill="1" applyBorder="1" applyAlignment="1">
      <alignment horizontal="center" vertical="center"/>
    </xf>
    <xf numFmtId="1" fontId="20" fillId="3" borderId="0" xfId="0" applyNumberFormat="1" applyFont="1" applyFill="1" applyAlignment="1" applyProtection="1">
      <alignment horizontal="center" vertical="center"/>
      <protection hidden="1"/>
    </xf>
    <xf numFmtId="0" fontId="26" fillId="3" borderId="0" xfId="0" applyFont="1" applyFill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3" fontId="20" fillId="3" borderId="11" xfId="8" applyFont="1" applyFill="1" applyBorder="1" applyAlignment="1" applyProtection="1">
      <alignment horizontal="center" vertical="center"/>
      <protection hidden="1"/>
    </xf>
    <xf numFmtId="0" fontId="19" fillId="3" borderId="0" xfId="0" applyFont="1" applyFill="1" applyAlignment="1">
      <alignment horizontal="left"/>
    </xf>
    <xf numFmtId="164" fontId="0" fillId="3" borderId="0" xfId="0" applyNumberFormat="1" applyFill="1" applyAlignment="1">
      <alignment vertical="center"/>
    </xf>
    <xf numFmtId="44" fontId="20" fillId="14" borderId="11" xfId="5" applyFont="1" applyFill="1" applyBorder="1" applyAlignment="1" applyProtection="1">
      <alignment horizontal="center" vertical="center"/>
      <protection locked="0"/>
    </xf>
    <xf numFmtId="44" fontId="26" fillId="13" borderId="11" xfId="5" applyFont="1" applyFill="1" applyBorder="1" applyAlignment="1">
      <alignment horizontal="center" vertical="center"/>
    </xf>
    <xf numFmtId="44" fontId="28" fillId="11" borderId="11" xfId="5" applyFont="1" applyFill="1" applyBorder="1" applyAlignment="1" applyProtection="1">
      <alignment horizontal="center" vertical="center"/>
      <protection locked="0"/>
    </xf>
    <xf numFmtId="44" fontId="20" fillId="15" borderId="11" xfId="5" applyFont="1" applyFill="1" applyBorder="1" applyAlignment="1" applyProtection="1">
      <alignment horizontal="center" vertical="center"/>
      <protection hidden="1"/>
    </xf>
    <xf numFmtId="0" fontId="30" fillId="3" borderId="0" xfId="0" applyFont="1" applyFill="1"/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17" fillId="12" borderId="0" xfId="3" applyFont="1" applyFill="1" applyAlignment="1">
      <alignment horizontal="center" vertical="center"/>
    </xf>
    <xf numFmtId="0" fontId="20" fillId="17" borderId="11" xfId="0" applyFont="1" applyFill="1" applyBorder="1" applyAlignment="1" applyProtection="1">
      <alignment horizontal="center" vertical="center"/>
      <protection locked="0"/>
    </xf>
    <xf numFmtId="10" fontId="20" fillId="17" borderId="11" xfId="0" applyNumberFormat="1" applyFont="1" applyFill="1" applyBorder="1" applyAlignment="1" applyProtection="1">
      <alignment horizontal="right" vertical="center"/>
      <protection hidden="1"/>
    </xf>
    <xf numFmtId="0" fontId="35" fillId="3" borderId="0" xfId="0" applyFont="1" applyFill="1" applyAlignment="1">
      <alignment horizontal="left"/>
    </xf>
    <xf numFmtId="10" fontId="36" fillId="16" borderId="0" xfId="10" applyNumberFormat="1" applyFont="1" applyFill="1" applyAlignment="1">
      <alignment vertical="center"/>
    </xf>
    <xf numFmtId="167" fontId="36" fillId="16" borderId="0" xfId="10" applyNumberFormat="1" applyFont="1" applyFill="1" applyAlignment="1">
      <alignment vertical="center"/>
    </xf>
    <xf numFmtId="44" fontId="0" fillId="0" borderId="0" xfId="12" applyFont="1"/>
    <xf numFmtId="0" fontId="0" fillId="0" borderId="0" xfId="0" applyAlignment="1">
      <alignment horizontal="center"/>
    </xf>
    <xf numFmtId="44" fontId="0" fillId="0" borderId="0" xfId="0" applyNumberFormat="1"/>
    <xf numFmtId="1" fontId="0" fillId="0" borderId="0" xfId="0" applyNumberFormat="1" applyAlignment="1">
      <alignment horizontal="center"/>
    </xf>
    <xf numFmtId="8" fontId="0" fillId="0" borderId="0" xfId="0" applyNumberFormat="1"/>
    <xf numFmtId="43" fontId="0" fillId="0" borderId="0" xfId="0" applyNumberFormat="1"/>
    <xf numFmtId="166" fontId="32" fillId="0" borderId="0" xfId="5" applyNumberFormat="1" applyFont="1" applyAlignment="1">
      <alignment horizontal="center"/>
    </xf>
    <xf numFmtId="10" fontId="26" fillId="13" borderId="11" xfId="6" applyNumberFormat="1" applyFont="1" applyFill="1" applyBorder="1" applyAlignment="1">
      <alignment horizontal="right" vertical="center"/>
    </xf>
    <xf numFmtId="0" fontId="30" fillId="3" borderId="1" xfId="0" applyFont="1" applyFill="1" applyBorder="1"/>
    <xf numFmtId="0" fontId="37" fillId="11" borderId="2" xfId="0" applyFont="1" applyFill="1" applyBorder="1"/>
    <xf numFmtId="0" fontId="37" fillId="11" borderId="1" xfId="0" applyFont="1" applyFill="1" applyBorder="1"/>
    <xf numFmtId="0" fontId="7" fillId="11" borderId="1" xfId="0" applyFont="1" applyFill="1" applyBorder="1"/>
    <xf numFmtId="0" fontId="0" fillId="3" borderId="0" xfId="0" applyFill="1" applyAlignment="1">
      <alignment horizontal="center"/>
    </xf>
    <xf numFmtId="164" fontId="30" fillId="16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9" fontId="0" fillId="3" borderId="1" xfId="6" applyFont="1" applyFill="1" applyBorder="1" applyAlignment="1">
      <alignment horizontal="center"/>
    </xf>
    <xf numFmtId="164" fontId="37" fillId="11" borderId="1" xfId="0" applyNumberFormat="1" applyFont="1" applyFill="1" applyBorder="1" applyAlignment="1">
      <alignment horizontal="center"/>
    </xf>
    <xf numFmtId="0" fontId="37" fillId="11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14" fontId="34" fillId="3" borderId="0" xfId="0" applyNumberFormat="1" applyFont="1" applyFill="1" applyAlignment="1">
      <alignment horizontal="center"/>
    </xf>
    <xf numFmtId="10" fontId="34" fillId="3" borderId="0" xfId="7" applyNumberFormat="1" applyFont="1" applyFill="1" applyAlignment="1">
      <alignment horizontal="center" vertical="center"/>
    </xf>
    <xf numFmtId="10" fontId="34" fillId="3" borderId="0" xfId="0" applyNumberFormat="1" applyFont="1" applyFill="1" applyAlignment="1">
      <alignment horizontal="center"/>
    </xf>
    <xf numFmtId="10" fontId="29" fillId="3" borderId="0" xfId="7" applyNumberFormat="1" applyFont="1" applyFill="1" applyAlignment="1">
      <alignment horizontal="center" vertical="center"/>
    </xf>
    <xf numFmtId="10" fontId="29" fillId="3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4" fillId="3" borderId="19" xfId="0" applyFon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31" fillId="6" borderId="18" xfId="4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1" fillId="3" borderId="0" xfId="4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1" fillId="6" borderId="1" xfId="4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1" fontId="12" fillId="3" borderId="0" xfId="0" applyNumberFormat="1" applyFont="1" applyFill="1" applyAlignment="1">
      <alignment horizontal="center"/>
    </xf>
    <xf numFmtId="0" fontId="0" fillId="12" borderId="0" xfId="0" applyFill="1"/>
    <xf numFmtId="9" fontId="0" fillId="3" borderId="0" xfId="6" applyFont="1" applyFill="1"/>
    <xf numFmtId="167" fontId="0" fillId="3" borderId="0" xfId="6" applyNumberFormat="1" applyFont="1" applyFill="1"/>
    <xf numFmtId="44" fontId="30" fillId="3" borderId="0" xfId="0" applyNumberFormat="1" applyFont="1" applyFill="1"/>
    <xf numFmtId="0" fontId="0" fillId="11" borderId="15" xfId="0" applyFill="1" applyBorder="1"/>
    <xf numFmtId="0" fontId="0" fillId="11" borderId="2" xfId="0" applyFill="1" applyBorder="1"/>
    <xf numFmtId="0" fontId="42" fillId="3" borderId="0" xfId="0" applyFont="1" applyFill="1" applyAlignment="1">
      <alignment vertical="center"/>
    </xf>
    <xf numFmtId="0" fontId="44" fillId="19" borderId="1" xfId="2" applyFont="1" applyFill="1" applyBorder="1" applyAlignment="1">
      <alignment horizontal="left" vertical="center" indent="1"/>
    </xf>
    <xf numFmtId="0" fontId="44" fillId="19" borderId="1" xfId="2" applyFont="1" applyFill="1" applyBorder="1" applyAlignment="1">
      <alignment horizontal="center" vertical="center"/>
    </xf>
    <xf numFmtId="0" fontId="45" fillId="20" borderId="1" xfId="17" applyFont="1" applyFill="1" applyBorder="1" applyAlignment="1">
      <alignment horizontal="left" vertical="center" indent="1"/>
    </xf>
    <xf numFmtId="0" fontId="45" fillId="3" borderId="1" xfId="0" applyFont="1" applyFill="1" applyBorder="1" applyAlignment="1">
      <alignment horizontal="center" vertical="center"/>
    </xf>
    <xf numFmtId="14" fontId="45" fillId="20" borderId="1" xfId="17" applyNumberFormat="1" applyFont="1" applyFill="1" applyBorder="1" applyAlignment="1">
      <alignment horizontal="center" vertical="center"/>
    </xf>
    <xf numFmtId="1" fontId="46" fillId="3" borderId="1" xfId="0" applyNumberFormat="1" applyFont="1" applyFill="1" applyBorder="1" applyAlignment="1">
      <alignment horizontal="center" vertical="center"/>
    </xf>
    <xf numFmtId="165" fontId="45" fillId="20" borderId="1" xfId="17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left" vertical="center" indent="1"/>
    </xf>
    <xf numFmtId="0" fontId="14" fillId="19" borderId="1" xfId="0" applyFont="1" applyFill="1" applyBorder="1" applyAlignment="1">
      <alignment horizontal="center" vertical="center"/>
    </xf>
    <xf numFmtId="14" fontId="14" fillId="19" borderId="1" xfId="0" applyNumberFormat="1" applyFont="1" applyFill="1" applyBorder="1" applyAlignment="1">
      <alignment horizontal="center" vertical="center"/>
    </xf>
    <xf numFmtId="1" fontId="46" fillId="19" borderId="1" xfId="0" applyNumberFormat="1" applyFont="1" applyFill="1" applyBorder="1" applyAlignment="1">
      <alignment horizontal="center" vertical="center"/>
    </xf>
    <xf numFmtId="0" fontId="14" fillId="22" borderId="1" xfId="18" applyFont="1" applyFill="1" applyBorder="1" applyAlignment="1">
      <alignment horizontal="left" vertical="center" indent="1"/>
    </xf>
    <xf numFmtId="0" fontId="14" fillId="10" borderId="1" xfId="18" applyFont="1" applyFill="1" applyBorder="1" applyAlignment="1">
      <alignment horizontal="left" vertical="center" indent="1"/>
    </xf>
    <xf numFmtId="0" fontId="14" fillId="3" borderId="0" xfId="0" applyFont="1" applyFill="1" applyAlignment="1">
      <alignment horizontal="left" vertical="center" wrapText="1" indent="1"/>
    </xf>
    <xf numFmtId="0" fontId="14" fillId="3" borderId="1" xfId="18" applyFont="1" applyFill="1" applyBorder="1" applyAlignment="1">
      <alignment horizontal="left" vertical="center" indent="1"/>
    </xf>
    <xf numFmtId="0" fontId="14" fillId="3" borderId="29" xfId="0" applyFont="1" applyFill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left" vertical="center" wrapText="1" indent="1"/>
    </xf>
    <xf numFmtId="0" fontId="14" fillId="3" borderId="17" xfId="0" applyFont="1" applyFill="1" applyBorder="1" applyAlignment="1">
      <alignment horizontal="left" vertical="center" wrapText="1" indent="1"/>
    </xf>
    <xf numFmtId="164" fontId="45" fillId="19" borderId="1" xfId="19" applyNumberFormat="1" applyFont="1" applyFill="1" applyBorder="1" applyAlignment="1">
      <alignment horizontal="center" vertical="center"/>
    </xf>
    <xf numFmtId="164" fontId="45" fillId="3" borderId="1" xfId="19" applyNumberFormat="1" applyFont="1" applyFill="1" applyBorder="1" applyAlignment="1">
      <alignment horizontal="center" vertical="center"/>
    </xf>
    <xf numFmtId="0" fontId="14" fillId="10" borderId="0" xfId="18" applyFont="1" applyFill="1" applyAlignment="1">
      <alignment horizontal="left" vertical="center" indent="1"/>
    </xf>
    <xf numFmtId="164" fontId="46" fillId="3" borderId="0" xfId="19" applyNumberFormat="1" applyFont="1" applyFill="1" applyBorder="1" applyAlignment="1">
      <alignment horizontal="center" vertical="center"/>
    </xf>
    <xf numFmtId="0" fontId="45" fillId="19" borderId="1" xfId="0" applyFont="1" applyFill="1" applyBorder="1" applyAlignment="1">
      <alignment horizontal="center" vertical="center"/>
    </xf>
    <xf numFmtId="0" fontId="14" fillId="0" borderId="1" xfId="18" applyFont="1" applyBorder="1" applyAlignment="1">
      <alignment horizontal="left" vertical="center" indent="1"/>
    </xf>
    <xf numFmtId="0" fontId="14" fillId="22" borderId="2" xfId="18" applyFont="1" applyFill="1" applyBorder="1" applyAlignment="1">
      <alignment horizontal="left" vertical="center" indent="1"/>
    </xf>
    <xf numFmtId="164" fontId="45" fillId="24" borderId="2" xfId="0" applyNumberFormat="1" applyFont="1" applyFill="1" applyBorder="1" applyAlignment="1">
      <alignment horizontal="center" vertical="center"/>
    </xf>
    <xf numFmtId="164" fontId="45" fillId="24" borderId="1" xfId="0" applyNumberFormat="1" applyFont="1" applyFill="1" applyBorder="1" applyAlignment="1">
      <alignment horizontal="center" vertical="center"/>
    </xf>
    <xf numFmtId="0" fontId="14" fillId="19" borderId="1" xfId="18" applyFont="1" applyFill="1" applyBorder="1" applyAlignment="1">
      <alignment horizontal="left" vertical="center" indent="1"/>
    </xf>
    <xf numFmtId="164" fontId="45" fillId="3" borderId="1" xfId="0" applyNumberFormat="1" applyFont="1" applyFill="1" applyBorder="1" applyAlignment="1">
      <alignment horizontal="center" vertical="center"/>
    </xf>
    <xf numFmtId="1" fontId="45" fillId="19" borderId="1" xfId="0" applyNumberFormat="1" applyFont="1" applyFill="1" applyBorder="1" applyAlignment="1">
      <alignment horizontal="center" vertical="center"/>
    </xf>
    <xf numFmtId="164" fontId="45" fillId="3" borderId="1" xfId="1" applyNumberFormat="1" applyFont="1" applyFill="1" applyBorder="1" applyAlignment="1">
      <alignment horizontal="center" vertical="center"/>
    </xf>
    <xf numFmtId="0" fontId="45" fillId="19" borderId="1" xfId="18" applyFont="1" applyFill="1" applyBorder="1" applyAlignment="1">
      <alignment horizontal="center" vertical="center"/>
    </xf>
    <xf numFmtId="0" fontId="45" fillId="3" borderId="1" xfId="18" applyFont="1" applyFill="1" applyBorder="1" applyAlignment="1">
      <alignment horizontal="center" vertical="center"/>
    </xf>
    <xf numFmtId="164" fontId="45" fillId="19" borderId="1" xfId="1" applyNumberFormat="1" applyFont="1" applyFill="1" applyBorder="1" applyAlignment="1">
      <alignment horizontal="center" vertical="center"/>
    </xf>
    <xf numFmtId="0" fontId="45" fillId="3" borderId="1" xfId="1" applyNumberFormat="1" applyFont="1" applyFill="1" applyBorder="1" applyAlignment="1">
      <alignment horizontal="center" vertical="center"/>
    </xf>
    <xf numFmtId="0" fontId="45" fillId="10" borderId="1" xfId="18" applyFont="1" applyFill="1" applyBorder="1" applyAlignment="1">
      <alignment horizontal="center" vertical="center"/>
    </xf>
    <xf numFmtId="164" fontId="45" fillId="19" borderId="1" xfId="0" applyNumberFormat="1" applyFont="1" applyFill="1" applyBorder="1" applyAlignment="1">
      <alignment horizontal="center" vertical="center"/>
    </xf>
    <xf numFmtId="164" fontId="46" fillId="19" borderId="1" xfId="18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5" fillId="0" borderId="1" xfId="18" applyFont="1" applyBorder="1" applyAlignment="1">
      <alignment horizontal="center" vertical="center"/>
    </xf>
    <xf numFmtId="164" fontId="49" fillId="3" borderId="1" xfId="19" applyNumberFormat="1" applyFont="1" applyFill="1" applyBorder="1" applyAlignment="1">
      <alignment horizontal="center" vertical="center"/>
    </xf>
    <xf numFmtId="164" fontId="49" fillId="19" borderId="1" xfId="19" applyNumberFormat="1" applyFont="1" applyFill="1" applyBorder="1" applyAlignment="1">
      <alignment horizontal="center" vertical="center"/>
    </xf>
    <xf numFmtId="164" fontId="49" fillId="7" borderId="1" xfId="0" applyNumberFormat="1" applyFont="1" applyFill="1" applyBorder="1" applyAlignment="1">
      <alignment horizontal="center" vertical="center"/>
    </xf>
    <xf numFmtId="164" fontId="49" fillId="25" borderId="1" xfId="0" applyNumberFormat="1" applyFont="1" applyFill="1" applyBorder="1" applyAlignment="1">
      <alignment horizontal="center" vertical="center"/>
    </xf>
    <xf numFmtId="164" fontId="49" fillId="19" borderId="1" xfId="0" applyNumberFormat="1" applyFont="1" applyFill="1" applyBorder="1" applyAlignment="1">
      <alignment horizontal="center" vertical="center"/>
    </xf>
    <xf numFmtId="0" fontId="50" fillId="3" borderId="0" xfId="0" applyFont="1" applyFill="1" applyAlignment="1">
      <alignment vertical="center"/>
    </xf>
    <xf numFmtId="164" fontId="49" fillId="3" borderId="1" xfId="0" applyNumberFormat="1" applyFont="1" applyFill="1" applyBorder="1" applyAlignment="1">
      <alignment horizontal="center" vertical="center"/>
    </xf>
    <xf numFmtId="9" fontId="49" fillId="19" borderId="1" xfId="6" applyFont="1" applyFill="1" applyBorder="1" applyAlignment="1">
      <alignment horizontal="center" vertical="center"/>
    </xf>
    <xf numFmtId="9" fontId="49" fillId="19" borderId="1" xfId="0" applyNumberFormat="1" applyFont="1" applyFill="1" applyBorder="1" applyAlignment="1">
      <alignment horizontal="center" vertical="center"/>
    </xf>
    <xf numFmtId="9" fontId="49" fillId="3" borderId="1" xfId="0" applyNumberFormat="1" applyFont="1" applyFill="1" applyBorder="1" applyAlignment="1">
      <alignment horizontal="center" vertical="center"/>
    </xf>
    <xf numFmtId="0" fontId="44" fillId="16" borderId="1" xfId="0" applyFont="1" applyFill="1" applyBorder="1" applyAlignment="1">
      <alignment horizontal="center" vertical="center"/>
    </xf>
    <xf numFmtId="0" fontId="51" fillId="19" borderId="1" xfId="0" applyFont="1" applyFill="1" applyBorder="1" applyAlignment="1">
      <alignment horizontal="center" vertical="center"/>
    </xf>
    <xf numFmtId="0" fontId="51" fillId="0" borderId="30" xfId="0" applyFont="1" applyBorder="1"/>
    <xf numFmtId="0" fontId="0" fillId="0" borderId="30" xfId="0" applyBorder="1"/>
    <xf numFmtId="9" fontId="14" fillId="3" borderId="23" xfId="0" applyNumberFormat="1" applyFont="1" applyFill="1" applyBorder="1" applyAlignment="1">
      <alignment horizontal="center" vertical="center"/>
    </xf>
    <xf numFmtId="4" fontId="0" fillId="0" borderId="30" xfId="0" applyNumberFormat="1" applyBorder="1" applyAlignment="1">
      <alignment horizontal="center"/>
    </xf>
    <xf numFmtId="0" fontId="5" fillId="10" borderId="1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4" fontId="30" fillId="3" borderId="1" xfId="0" applyNumberFormat="1" applyFont="1" applyFill="1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4" fontId="0" fillId="0" borderId="31" xfId="0" applyNumberFormat="1" applyBorder="1"/>
    <xf numFmtId="0" fontId="0" fillId="0" borderId="27" xfId="0" applyBorder="1"/>
    <xf numFmtId="0" fontId="0" fillId="8" borderId="0" xfId="0" applyFill="1"/>
    <xf numFmtId="0" fontId="0" fillId="8" borderId="30" xfId="0" applyFill="1" applyBorder="1"/>
    <xf numFmtId="0" fontId="0" fillId="8" borderId="31" xfId="0" applyFill="1" applyBorder="1"/>
    <xf numFmtId="164" fontId="0" fillId="0" borderId="30" xfId="0" applyNumberFormat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164" fontId="0" fillId="19" borderId="30" xfId="0" applyNumberFormat="1" applyFill="1" applyBorder="1" applyAlignment="1">
      <alignment horizontal="center"/>
    </xf>
    <xf numFmtId="4" fontId="0" fillId="19" borderId="30" xfId="0" applyNumberFormat="1" applyFill="1" applyBorder="1" applyAlignment="1">
      <alignment horizontal="center"/>
    </xf>
    <xf numFmtId="164" fontId="49" fillId="3" borderId="1" xfId="18" applyNumberFormat="1" applyFont="1" applyFill="1" applyBorder="1" applyAlignment="1">
      <alignment horizontal="center" vertical="center"/>
    </xf>
    <xf numFmtId="0" fontId="0" fillId="19" borderId="30" xfId="0" applyFill="1" applyBorder="1" applyAlignment="1">
      <alignment horizontal="left" vertical="center"/>
    </xf>
    <xf numFmtId="0" fontId="14" fillId="10" borderId="1" xfId="18" applyFont="1" applyFill="1" applyBorder="1" applyAlignment="1">
      <alignment horizontal="left" vertical="center"/>
    </xf>
    <xf numFmtId="0" fontId="14" fillId="22" borderId="1" xfId="18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19" borderId="1" xfId="0" applyFill="1" applyBorder="1"/>
    <xf numFmtId="164" fontId="0" fillId="19" borderId="1" xfId="0" applyNumberForma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27" fillId="9" borderId="23" xfId="0" applyFont="1" applyFill="1" applyBorder="1"/>
    <xf numFmtId="0" fontId="27" fillId="9" borderId="24" xfId="0" applyFont="1" applyFill="1" applyBorder="1"/>
    <xf numFmtId="0" fontId="56" fillId="26" borderId="24" xfId="0" applyFont="1" applyFill="1" applyBorder="1" applyAlignment="1">
      <alignment vertical="center"/>
    </xf>
    <xf numFmtId="0" fontId="56" fillId="26" borderId="3" xfId="0" applyFont="1" applyFill="1" applyBorder="1" applyAlignment="1">
      <alignment vertical="center"/>
    </xf>
    <xf numFmtId="0" fontId="0" fillId="11" borderId="0" xfId="0" applyFill="1"/>
    <xf numFmtId="164" fontId="58" fillId="3" borderId="15" xfId="0" applyNumberFormat="1" applyFont="1" applyFill="1" applyBorder="1" applyAlignment="1">
      <alignment horizontal="center"/>
    </xf>
    <xf numFmtId="164" fontId="58" fillId="3" borderId="15" xfId="7" applyNumberFormat="1" applyFont="1" applyFill="1" applyBorder="1" applyAlignment="1">
      <alignment horizontal="center" vertical="center"/>
    </xf>
    <xf numFmtId="164" fontId="58" fillId="3" borderId="15" xfId="5" applyNumberFormat="1" applyFont="1" applyFill="1" applyBorder="1" applyAlignment="1">
      <alignment horizontal="center"/>
    </xf>
    <xf numFmtId="164" fontId="59" fillId="3" borderId="1" xfId="0" applyNumberFormat="1" applyFont="1" applyFill="1" applyBorder="1" applyAlignment="1">
      <alignment horizontal="center"/>
    </xf>
    <xf numFmtId="164" fontId="58" fillId="3" borderId="1" xfId="0" applyNumberFormat="1" applyFont="1" applyFill="1" applyBorder="1" applyAlignment="1">
      <alignment horizontal="center"/>
    </xf>
    <xf numFmtId="14" fontId="30" fillId="3" borderId="1" xfId="0" applyNumberFormat="1" applyFont="1" applyFill="1" applyBorder="1" applyAlignment="1">
      <alignment horizontal="center"/>
    </xf>
    <xf numFmtId="10" fontId="59" fillId="3" borderId="1" xfId="0" applyNumberFormat="1" applyFont="1" applyFill="1" applyBorder="1" applyAlignment="1">
      <alignment horizontal="center"/>
    </xf>
    <xf numFmtId="14" fontId="30" fillId="3" borderId="0" xfId="0" applyNumberFormat="1" applyFont="1" applyFill="1"/>
    <xf numFmtId="164" fontId="30" fillId="3" borderId="0" xfId="0" applyNumberFormat="1" applyFont="1" applyFill="1"/>
    <xf numFmtId="164" fontId="33" fillId="3" borderId="0" xfId="0" applyNumberFormat="1" applyFont="1" applyFill="1"/>
    <xf numFmtId="14" fontId="33" fillId="3" borderId="0" xfId="0" applyNumberFormat="1" applyFont="1" applyFill="1"/>
    <xf numFmtId="0" fontId="33" fillId="3" borderId="0" xfId="0" applyFont="1" applyFill="1"/>
    <xf numFmtId="0" fontId="1" fillId="10" borderId="19" xfId="0" applyFont="1" applyFill="1" applyBorder="1" applyAlignment="1">
      <alignment horizontal="center"/>
    </xf>
    <xf numFmtId="1" fontId="60" fillId="11" borderId="11" xfId="0" applyNumberFormat="1" applyFont="1" applyFill="1" applyBorder="1" applyAlignment="1" applyProtection="1">
      <alignment horizontal="center" vertical="center"/>
      <protection locked="0"/>
    </xf>
    <xf numFmtId="8" fontId="60" fillId="11" borderId="11" xfId="5" applyNumberFormat="1" applyFont="1" applyFill="1" applyBorder="1" applyAlignment="1" applyProtection="1">
      <alignment horizontal="center" vertical="center"/>
      <protection hidden="1"/>
    </xf>
    <xf numFmtId="0" fontId="44" fillId="3" borderId="18" xfId="0" applyFont="1" applyFill="1" applyBorder="1" applyAlignment="1">
      <alignment horizontal="center" vertical="center"/>
    </xf>
    <xf numFmtId="0" fontId="44" fillId="3" borderId="25" xfId="0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/>
    </xf>
    <xf numFmtId="0" fontId="44" fillId="3" borderId="27" xfId="0" applyFont="1" applyFill="1" applyBorder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0" fontId="44" fillId="3" borderId="28" xfId="0" applyFont="1" applyFill="1" applyBorder="1" applyAlignment="1">
      <alignment horizontal="center" vertical="center"/>
    </xf>
    <xf numFmtId="0" fontId="44" fillId="3" borderId="29" xfId="0" applyFont="1" applyFill="1" applyBorder="1" applyAlignment="1">
      <alignment horizontal="center" vertical="center"/>
    </xf>
    <xf numFmtId="0" fontId="44" fillId="3" borderId="16" xfId="0" applyFont="1" applyFill="1" applyBorder="1" applyAlignment="1">
      <alignment horizontal="center" vertical="center"/>
    </xf>
    <xf numFmtId="0" fontId="44" fillId="3" borderId="17" xfId="0" applyFont="1" applyFill="1" applyBorder="1" applyAlignment="1">
      <alignment horizontal="center" vertical="center"/>
    </xf>
    <xf numFmtId="0" fontId="55" fillId="8" borderId="23" xfId="0" applyFont="1" applyFill="1" applyBorder="1" applyAlignment="1">
      <alignment horizontal="center"/>
    </xf>
    <xf numFmtId="0" fontId="55" fillId="8" borderId="24" xfId="0" applyFont="1" applyFill="1" applyBorder="1" applyAlignment="1">
      <alignment horizontal="center"/>
    </xf>
    <xf numFmtId="0" fontId="55" fillId="8" borderId="3" xfId="0" applyFont="1" applyFill="1" applyBorder="1" applyAlignment="1">
      <alignment horizontal="center"/>
    </xf>
    <xf numFmtId="0" fontId="45" fillId="0" borderId="18" xfId="18" applyFont="1" applyBorder="1" applyAlignment="1">
      <alignment horizontal="center" vertical="center" wrapText="1"/>
    </xf>
    <xf numFmtId="0" fontId="45" fillId="0" borderId="25" xfId="18" applyFont="1" applyBorder="1" applyAlignment="1">
      <alignment horizontal="center" vertical="center" wrapText="1"/>
    </xf>
    <xf numFmtId="0" fontId="45" fillId="0" borderId="26" xfId="18" applyFont="1" applyBorder="1" applyAlignment="1">
      <alignment horizontal="center" vertical="center" wrapText="1"/>
    </xf>
    <xf numFmtId="0" fontId="45" fillId="0" borderId="27" xfId="18" applyFont="1" applyBorder="1" applyAlignment="1">
      <alignment horizontal="center" vertical="center" wrapText="1"/>
    </xf>
    <xf numFmtId="0" fontId="45" fillId="0" borderId="0" xfId="18" applyFont="1" applyAlignment="1">
      <alignment horizontal="center" vertical="center" wrapText="1"/>
    </xf>
    <xf numFmtId="0" fontId="45" fillId="0" borderId="28" xfId="18" applyFont="1" applyBorder="1" applyAlignment="1">
      <alignment horizontal="center" vertical="center" wrapText="1"/>
    </xf>
    <xf numFmtId="0" fontId="45" fillId="0" borderId="29" xfId="18" applyFont="1" applyBorder="1" applyAlignment="1">
      <alignment horizontal="center" vertical="center" wrapText="1"/>
    </xf>
    <xf numFmtId="0" fontId="45" fillId="0" borderId="16" xfId="18" applyFont="1" applyBorder="1" applyAlignment="1">
      <alignment horizontal="center" vertical="center" wrapText="1"/>
    </xf>
    <xf numFmtId="0" fontId="45" fillId="0" borderId="17" xfId="18" applyFont="1" applyBorder="1" applyAlignment="1">
      <alignment horizontal="center" vertical="center" wrapText="1"/>
    </xf>
    <xf numFmtId="0" fontId="43" fillId="21" borderId="1" xfId="18" applyFont="1" applyFill="1" applyBorder="1" applyAlignment="1">
      <alignment horizontal="center" vertical="center"/>
    </xf>
    <xf numFmtId="0" fontId="44" fillId="19" borderId="1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left" vertical="center" wrapText="1" indent="1"/>
    </xf>
    <xf numFmtId="0" fontId="14" fillId="3" borderId="25" xfId="0" applyFont="1" applyFill="1" applyBorder="1" applyAlignment="1">
      <alignment horizontal="left" vertical="center" wrapText="1" indent="1"/>
    </xf>
    <xf numFmtId="0" fontId="14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0" xfId="0" applyFont="1" applyFill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14" fillId="3" borderId="29" xfId="0" applyFont="1" applyFill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left" vertical="center" wrapText="1" indent="1"/>
    </xf>
    <xf numFmtId="0" fontId="14" fillId="3" borderId="17" xfId="0" applyFont="1" applyFill="1" applyBorder="1" applyAlignment="1">
      <alignment horizontal="left" vertical="center" wrapText="1" indent="1"/>
    </xf>
    <xf numFmtId="0" fontId="41" fillId="18" borderId="23" xfId="0" applyFont="1" applyFill="1" applyBorder="1" applyAlignment="1">
      <alignment horizontal="center" vertical="center"/>
    </xf>
    <xf numFmtId="0" fontId="41" fillId="18" borderId="24" xfId="0" applyFont="1" applyFill="1" applyBorder="1" applyAlignment="1">
      <alignment horizontal="center" vertical="center"/>
    </xf>
    <xf numFmtId="0" fontId="41" fillId="18" borderId="3" xfId="0" applyFont="1" applyFill="1" applyBorder="1" applyAlignment="1">
      <alignment horizontal="center" vertical="center"/>
    </xf>
    <xf numFmtId="0" fontId="43" fillId="18" borderId="23" xfId="0" applyFont="1" applyFill="1" applyBorder="1" applyAlignment="1">
      <alignment horizontal="center" vertical="center"/>
    </xf>
    <xf numFmtId="0" fontId="43" fillId="18" borderId="24" xfId="0" applyFont="1" applyFill="1" applyBorder="1" applyAlignment="1">
      <alignment horizontal="center" vertical="center"/>
    </xf>
    <xf numFmtId="0" fontId="43" fillId="18" borderId="3" xfId="0" applyFont="1" applyFill="1" applyBorder="1" applyAlignment="1">
      <alignment horizontal="center" vertical="center"/>
    </xf>
    <xf numFmtId="0" fontId="43" fillId="21" borderId="23" xfId="18" applyFont="1" applyFill="1" applyBorder="1" applyAlignment="1">
      <alignment horizontal="center" vertical="center"/>
    </xf>
    <xf numFmtId="0" fontId="43" fillId="21" borderId="24" xfId="18" applyFont="1" applyFill="1" applyBorder="1" applyAlignment="1">
      <alignment horizontal="center" vertical="center"/>
    </xf>
    <xf numFmtId="0" fontId="43" fillId="21" borderId="3" xfId="18" applyFont="1" applyFill="1" applyBorder="1" applyAlignment="1">
      <alignment horizontal="center" vertical="center"/>
    </xf>
    <xf numFmtId="0" fontId="44" fillId="19" borderId="3" xfId="0" applyFont="1" applyFill="1" applyBorder="1" applyAlignment="1">
      <alignment horizontal="center" vertical="center"/>
    </xf>
    <xf numFmtId="0" fontId="11" fillId="23" borderId="23" xfId="0" applyFont="1" applyFill="1" applyBorder="1" applyAlignment="1">
      <alignment horizontal="center" vertical="center"/>
    </xf>
    <xf numFmtId="0" fontId="11" fillId="23" borderId="24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44" fillId="19" borderId="23" xfId="0" applyFont="1" applyFill="1" applyBorder="1" applyAlignment="1">
      <alignment horizontal="center" vertical="center"/>
    </xf>
    <xf numFmtId="0" fontId="44" fillId="19" borderId="24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left"/>
    </xf>
    <xf numFmtId="0" fontId="18" fillId="11" borderId="0" xfId="0" applyFont="1" applyFill="1" applyAlignment="1">
      <alignment horizontal="center" vertical="center"/>
    </xf>
    <xf numFmtId="0" fontId="20" fillId="3" borderId="4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0" fontId="38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10" fillId="27" borderId="33" xfId="0" applyFont="1" applyFill="1" applyBorder="1" applyAlignment="1">
      <alignment horizontal="center" vertical="center" wrapText="1"/>
    </xf>
    <xf numFmtId="0" fontId="10" fillId="27" borderId="26" xfId="0" applyFont="1" applyFill="1" applyBorder="1" applyAlignment="1">
      <alignment horizontal="center" vertical="center" wrapText="1"/>
    </xf>
    <xf numFmtId="0" fontId="57" fillId="8" borderId="16" xfId="0" applyFont="1" applyFill="1" applyBorder="1" applyAlignment="1">
      <alignment horizontal="center"/>
    </xf>
    <xf numFmtId="0" fontId="57" fillId="8" borderId="17" xfId="0" applyFont="1" applyFill="1" applyBorder="1" applyAlignment="1">
      <alignment horizontal="center"/>
    </xf>
    <xf numFmtId="0" fontId="57" fillId="3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52" fillId="0" borderId="0" xfId="0" applyFont="1"/>
    <xf numFmtId="0" fontId="0" fillId="0" borderId="0" xfId="0"/>
    <xf numFmtId="0" fontId="53" fillId="0" borderId="0" xfId="0" applyFont="1"/>
  </cellXfs>
  <cellStyles count="20">
    <cellStyle name="Ênfase1" xfId="2" builtinId="29"/>
    <cellStyle name="Moeda" xfId="1" builtinId="4"/>
    <cellStyle name="Moeda 4" xfId="12" xr:uid="{A00E1862-4C9F-984A-A681-FAD091C8CDA7}"/>
    <cellStyle name="Moeda 5" xfId="5" xr:uid="{636F2EC4-DDF6-C947-BE51-41A25D0FF689}"/>
    <cellStyle name="Moeda 5 2" xfId="19" xr:uid="{14A64D42-3B31-4D4A-9AC8-6115864226DD}"/>
    <cellStyle name="Normal" xfId="0" builtinId="0"/>
    <cellStyle name="Normal 2" xfId="13" xr:uid="{B9047CFA-4D38-BB4C-BF0B-A0EADAFDE4F3}"/>
    <cellStyle name="Normal 3" xfId="3" xr:uid="{14D356A9-339A-374D-A11F-1AD4B129F127}"/>
    <cellStyle name="Normal 3 2" xfId="9" xr:uid="{EA8507E3-F092-4646-9978-50943DD19467}"/>
    <cellStyle name="Normal 3 3" xfId="17" xr:uid="{29B7A433-DB53-4500-9CAF-AA89E4499BD0}"/>
    <cellStyle name="Normal 4" xfId="14" xr:uid="{3A673C4C-C651-B949-94B9-BC41C8617235}"/>
    <cellStyle name="Normal 5" xfId="15" xr:uid="{D8CABD97-5F02-8844-BEF0-546AA065CB56}"/>
    <cellStyle name="Normal 6" xfId="11" xr:uid="{64B7C0B4-294F-6949-9C96-8B2B82FD4342}"/>
    <cellStyle name="Normal 7" xfId="4" xr:uid="{8DC4F109-AE73-B648-987A-A4EA59F98B77}"/>
    <cellStyle name="Normal 7 2" xfId="18" xr:uid="{D43BBDD3-2151-4C47-B38F-4C0DDE59C100}"/>
    <cellStyle name="Normal 8" xfId="16" xr:uid="{47C7F8E8-317B-534F-A90B-344F24664F20}"/>
    <cellStyle name="Porcentagem" xfId="6" builtinId="5"/>
    <cellStyle name="Porcentagem 4" xfId="10" xr:uid="{C4346857-25BA-8842-A3AA-35646A9BDEBC}"/>
    <cellStyle name="Porcentagem 5" xfId="7" xr:uid="{1E7AA3A9-D277-BF49-8986-7B3107665B21}"/>
    <cellStyle name="Vírgula" xfId="8" builtinId="3"/>
  </cellStyles>
  <dxfs count="33">
    <dxf>
      <fill>
        <patternFill patternType="solid">
          <fgColor rgb="FFFFCCCC"/>
          <bgColor rgb="FFFFCC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cliente-style" pivot="0" count="3" xr9:uid="{CC82C928-195B-EF42-97CD-F49D8CFA06B9}">
      <tableStyleElement type="headerRow" dxfId="32"/>
      <tableStyleElement type="firstRowStripe" dxfId="31"/>
      <tableStyleElement type="secondRowStripe" dxfId="30"/>
    </tableStyle>
  </tableStyles>
  <colors>
    <mruColors>
      <color rgb="FF125979"/>
      <color rgb="FF92D050"/>
      <color rgb="FF0B66C1"/>
      <color rgb="FF125E7F"/>
      <color rgb="FFCCD3D8"/>
      <color rgb="FFDF2640"/>
      <color rgb="FF104F6C"/>
      <color rgb="FFBEC7CE"/>
      <color rgb="FFAEBAC4"/>
      <color rgb="FF105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Projeção de Acúmulo</a:t>
            </a:r>
          </a:p>
        </c:rich>
      </c:tx>
      <c:layout>
        <c:manualLayout>
          <c:xMode val="edge"/>
          <c:yMode val="edge"/>
          <c:x val="0.40093576580785578"/>
          <c:y val="6.1806663814051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940573682607601E-2"/>
          <c:y val="0.21893035912629111"/>
          <c:w val="0.89796740442197176"/>
          <c:h val="0.55325387190110331"/>
        </c:manualLayout>
      </c:layout>
      <c:areaChart>
        <c:grouping val="stacked"/>
        <c:varyColors val="0"/>
        <c:ser>
          <c:idx val="0"/>
          <c:order val="0"/>
          <c:tx>
            <c:v>Total Investido</c:v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cat>
            <c:numRef>
              <c:f>'Base PFi'!$E$4:$E$30</c:f>
              <c:numCache>
                <c:formatCode>0</c:formatCode>
                <c:ptCount val="27"/>
                <c:pt idx="0">
                  <c:v>40.098630136986301</c:v>
                </c:pt>
                <c:pt idx="1">
                  <c:v>41.098630136986301</c:v>
                </c:pt>
                <c:pt idx="2">
                  <c:v>42.098630136986301</c:v>
                </c:pt>
                <c:pt idx="3">
                  <c:v>43.098630136986301</c:v>
                </c:pt>
                <c:pt idx="4">
                  <c:v>44.098630136986301</c:v>
                </c:pt>
                <c:pt idx="5">
                  <c:v>45.098630136986301</c:v>
                </c:pt>
                <c:pt idx="6">
                  <c:v>46.098630136986301</c:v>
                </c:pt>
                <c:pt idx="7">
                  <c:v>47.098630136986301</c:v>
                </c:pt>
                <c:pt idx="8">
                  <c:v>48.098630136986301</c:v>
                </c:pt>
                <c:pt idx="9">
                  <c:v>49.098630136986301</c:v>
                </c:pt>
                <c:pt idx="10">
                  <c:v>50.098630136986301</c:v>
                </c:pt>
                <c:pt idx="11">
                  <c:v>51.098630136986301</c:v>
                </c:pt>
                <c:pt idx="12">
                  <c:v>52.098630136986301</c:v>
                </c:pt>
                <c:pt idx="13">
                  <c:v>53.098630136986301</c:v>
                </c:pt>
                <c:pt idx="14">
                  <c:v>54.098630136986301</c:v>
                </c:pt>
                <c:pt idx="15">
                  <c:v>55.098630136986301</c:v>
                </c:pt>
                <c:pt idx="16">
                  <c:v>56.098630136986301</c:v>
                </c:pt>
                <c:pt idx="17">
                  <c:v>57.098630136986301</c:v>
                </c:pt>
                <c:pt idx="18">
                  <c:v>58.098630136986301</c:v>
                </c:pt>
                <c:pt idx="19">
                  <c:v>59.098630136986301</c:v>
                </c:pt>
                <c:pt idx="20">
                  <c:v>60.098630136986301</c:v>
                </c:pt>
                <c:pt idx="21">
                  <c:v>61.098630136986301</c:v>
                </c:pt>
                <c:pt idx="22">
                  <c:v>62.098630136986301</c:v>
                </c:pt>
                <c:pt idx="23">
                  <c:v>63.098630136986301</c:v>
                </c:pt>
                <c:pt idx="24">
                  <c:v>64.098630136986301</c:v>
                </c:pt>
                <c:pt idx="25">
                  <c:v>65.098630136986301</c:v>
                </c:pt>
                <c:pt idx="26">
                  <c:v>66.098630136986301</c:v>
                </c:pt>
              </c:numCache>
            </c:numRef>
          </c:cat>
          <c:val>
            <c:numLit>
              <c:formatCode>General</c:formatCode>
              <c:ptCount val="27"/>
              <c:pt idx="0">
                <c:v>2332000</c:v>
              </c:pt>
              <c:pt idx="1">
                <c:v>2872000</c:v>
              </c:pt>
              <c:pt idx="2">
                <c:v>3412000</c:v>
              </c:pt>
              <c:pt idx="3">
                <c:v>3952000</c:v>
              </c:pt>
              <c:pt idx="4">
                <c:v>4492000</c:v>
              </c:pt>
              <c:pt idx="5">
                <c:v>5032000</c:v>
              </c:pt>
              <c:pt idx="6">
                <c:v>5572000</c:v>
              </c:pt>
              <c:pt idx="7">
                <c:v>6112000</c:v>
              </c:pt>
              <c:pt idx="8">
                <c:v>6652000</c:v>
              </c:pt>
              <c:pt idx="9">
                <c:v>7192000</c:v>
              </c:pt>
              <c:pt idx="10">
                <c:v>7732000</c:v>
              </c:pt>
              <c:pt idx="11">
                <c:v>8272000</c:v>
              </c:pt>
              <c:pt idx="12">
                <c:v>8812000</c:v>
              </c:pt>
              <c:pt idx="13">
                <c:v>9352000</c:v>
              </c:pt>
              <c:pt idx="14">
                <c:v>9892000</c:v>
              </c:pt>
              <c:pt idx="15">
                <c:v>10432000</c:v>
              </c:pt>
              <c:pt idx="16">
                <c:v>10972000</c:v>
              </c:pt>
              <c:pt idx="17">
                <c:v>11512000</c:v>
              </c:pt>
              <c:pt idx="18">
                <c:v>12052000</c:v>
              </c:pt>
              <c:pt idx="19">
                <c:v>12592000</c:v>
              </c:pt>
              <c:pt idx="20">
                <c:v>13132000</c:v>
              </c:pt>
              <c:pt idx="21">
                <c:v>13672000</c:v>
              </c:pt>
              <c:pt idx="22">
                <c:v>14212000</c:v>
              </c:pt>
              <c:pt idx="23">
                <c:v>14752000</c:v>
              </c:pt>
              <c:pt idx="24">
                <c:v>15292000</c:v>
              </c:pt>
              <c:pt idx="25">
                <c:v>15832000</c:v>
              </c:pt>
              <c:pt idx="26">
                <c:v>16372000</c:v>
              </c:pt>
            </c:numLit>
          </c:val>
          <c:extLst>
            <c:ext xmlns:c16="http://schemas.microsoft.com/office/drawing/2014/chart" uri="{C3380CC4-5D6E-409C-BE32-E72D297353CC}">
              <c16:uniqueId val="{00000000-8094-1846-8BF1-C8959EB45659}"/>
            </c:ext>
          </c:extLst>
        </c:ser>
        <c:ser>
          <c:idx val="1"/>
          <c:order val="1"/>
          <c:tx>
            <c:strRef>
              <c:f>'Base PFi'!$I$3</c:f>
              <c:strCache>
                <c:ptCount val="1"/>
                <c:pt idx="0">
                  <c:v>Total Juros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cat>
            <c:numRef>
              <c:f>'Base PFi'!$E$4:$E$30</c:f>
              <c:numCache>
                <c:formatCode>0</c:formatCode>
                <c:ptCount val="27"/>
                <c:pt idx="0">
                  <c:v>40.098630136986301</c:v>
                </c:pt>
                <c:pt idx="1">
                  <c:v>41.098630136986301</c:v>
                </c:pt>
                <c:pt idx="2">
                  <c:v>42.098630136986301</c:v>
                </c:pt>
                <c:pt idx="3">
                  <c:v>43.098630136986301</c:v>
                </c:pt>
                <c:pt idx="4">
                  <c:v>44.098630136986301</c:v>
                </c:pt>
                <c:pt idx="5">
                  <c:v>45.098630136986301</c:v>
                </c:pt>
                <c:pt idx="6">
                  <c:v>46.098630136986301</c:v>
                </c:pt>
                <c:pt idx="7">
                  <c:v>47.098630136986301</c:v>
                </c:pt>
                <c:pt idx="8">
                  <c:v>48.098630136986301</c:v>
                </c:pt>
                <c:pt idx="9">
                  <c:v>49.098630136986301</c:v>
                </c:pt>
                <c:pt idx="10">
                  <c:v>50.098630136986301</c:v>
                </c:pt>
                <c:pt idx="11">
                  <c:v>51.098630136986301</c:v>
                </c:pt>
                <c:pt idx="12">
                  <c:v>52.098630136986301</c:v>
                </c:pt>
                <c:pt idx="13">
                  <c:v>53.098630136986301</c:v>
                </c:pt>
                <c:pt idx="14">
                  <c:v>54.098630136986301</c:v>
                </c:pt>
                <c:pt idx="15">
                  <c:v>55.098630136986301</c:v>
                </c:pt>
                <c:pt idx="16">
                  <c:v>56.098630136986301</c:v>
                </c:pt>
                <c:pt idx="17">
                  <c:v>57.098630136986301</c:v>
                </c:pt>
                <c:pt idx="18">
                  <c:v>58.098630136986301</c:v>
                </c:pt>
                <c:pt idx="19">
                  <c:v>59.098630136986301</c:v>
                </c:pt>
                <c:pt idx="20">
                  <c:v>60.098630136986301</c:v>
                </c:pt>
                <c:pt idx="21">
                  <c:v>61.098630136986301</c:v>
                </c:pt>
                <c:pt idx="22">
                  <c:v>62.098630136986301</c:v>
                </c:pt>
                <c:pt idx="23">
                  <c:v>63.098630136986301</c:v>
                </c:pt>
                <c:pt idx="24">
                  <c:v>64.098630136986301</c:v>
                </c:pt>
                <c:pt idx="25">
                  <c:v>65.098630136986301</c:v>
                </c:pt>
                <c:pt idx="26">
                  <c:v>66.098630136986301</c:v>
                </c:pt>
              </c:numCache>
            </c:numRef>
          </c:cat>
          <c:val>
            <c:numRef>
              <c:f>'Base PFi'!$I$4:$I$30</c:f>
              <c:numCache>
                <c:formatCode>"R$"#,##0.00_);[Red]\("R$"#,##0.00\)</c:formatCode>
                <c:ptCount val="27"/>
                <c:pt idx="0">
                  <c:v>0</c:v>
                </c:pt>
                <c:pt idx="1">
                  <c:v>62128.659401293378</c:v>
                </c:pt>
                <c:pt idx="2">
                  <c:v>171957.85731493356</c:v>
                </c:pt>
                <c:pt idx="3">
                  <c:v>334877.75459281681</c:v>
                </c:pt>
                <c:pt idx="4">
                  <c:v>556887.60026310245</c:v>
                </c:pt>
                <c:pt idx="5">
                  <c:v>844664.55849413062</c:v>
                </c:pt>
                <c:pt idx="6">
                  <c:v>1205640.3130052672</c:v>
                </c:pt>
                <c:pt idx="7">
                  <c:v>1648086.3277761629</c:v>
                </c:pt>
                <c:pt idx="8">
                  <c:v>2181208.7422161736</c:v>
                </c:pt>
                <c:pt idx="9">
                  <c:v>2815253.9894879051</c:v>
                </c:pt>
                <c:pt idx="10">
                  <c:v>3561626.349701345</c:v>
                </c:pt>
                <c:pt idx="11">
                  <c:v>4433018.786618907</c:v>
                </c:pt>
                <c:pt idx="12">
                  <c:v>5443558.5689081587</c:v>
                </c:pt>
                <c:pt idx="13">
                  <c:v>6608969.3465960957</c:v>
                </c:pt>
                <c:pt idx="14">
                  <c:v>7946751.5421627741</c:v>
                </c:pt>
                <c:pt idx="15">
                  <c:v>9476383.1258284897</c:v>
                </c:pt>
                <c:pt idx="16">
                  <c:v>11219543.078448437</c:v>
                </c:pt>
                <c:pt idx="17">
                  <c:v>13200360.10571444</c:v>
                </c:pt>
                <c:pt idx="18">
                  <c:v>15445689.457061507</c:v>
                </c:pt>
                <c:pt idx="19">
                  <c:v>17985421.025110804</c:v>
                </c:pt>
                <c:pt idx="20">
                  <c:v>20852822.260349676</c:v>
                </c:pt>
                <c:pt idx="21">
                  <c:v>24084919.835170545</c:v>
                </c:pt>
                <c:pt idx="22">
                  <c:v>27722924.435946189</c:v>
                </c:pt>
                <c:pt idx="23">
                  <c:v>31812703.556609474</c:v>
                </c:pt>
                <c:pt idx="24">
                  <c:v>36405307.717907734</c:v>
                </c:pt>
                <c:pt idx="25">
                  <c:v>41557556.149432704</c:v>
                </c:pt>
                <c:pt idx="26">
                  <c:v>47332688.653720006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4-1846-8BF1-C8959EB45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745983"/>
        <c:axId val="1141746815"/>
      </c:areaChart>
      <c:catAx>
        <c:axId val="114174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746815"/>
        <c:crosses val="autoZero"/>
        <c:auto val="1"/>
        <c:lblAlgn val="ctr"/>
        <c:lblOffset val="100"/>
        <c:tickLblSkip val="5"/>
        <c:noMultiLvlLbl val="0"/>
      </c:catAx>
      <c:valAx>
        <c:axId val="11417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74598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Patrimônio na Perpetuidade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'Base PFi'!$Q$3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'Base PFi'!$P$4:$P$54</c:f>
              <c:numCache>
                <c:formatCode>0</c:formatCode>
                <c:ptCount val="51"/>
                <c:pt idx="0">
                  <c:v>45.098630136986301</c:v>
                </c:pt>
                <c:pt idx="1">
                  <c:v>46.098630136986301</c:v>
                </c:pt>
                <c:pt idx="2">
                  <c:v>47.098630136986301</c:v>
                </c:pt>
                <c:pt idx="3">
                  <c:v>48.098630136986301</c:v>
                </c:pt>
                <c:pt idx="4">
                  <c:v>49.098630136986301</c:v>
                </c:pt>
                <c:pt idx="5">
                  <c:v>50.098630136986301</c:v>
                </c:pt>
                <c:pt idx="6">
                  <c:v>51.098630136986301</c:v>
                </c:pt>
                <c:pt idx="7">
                  <c:v>52.098630136986301</c:v>
                </c:pt>
                <c:pt idx="8">
                  <c:v>53.098630136986301</c:v>
                </c:pt>
                <c:pt idx="9">
                  <c:v>54.098630136986301</c:v>
                </c:pt>
                <c:pt idx="10">
                  <c:v>55.098630136986301</c:v>
                </c:pt>
                <c:pt idx="11">
                  <c:v>56.098630136986301</c:v>
                </c:pt>
                <c:pt idx="12">
                  <c:v>57.098630136986301</c:v>
                </c:pt>
                <c:pt idx="13">
                  <c:v>58.098630136986301</c:v>
                </c:pt>
                <c:pt idx="14">
                  <c:v>59.098630136986301</c:v>
                </c:pt>
                <c:pt idx="15">
                  <c:v>60.098630136986301</c:v>
                </c:pt>
                <c:pt idx="16">
                  <c:v>61.098630136986301</c:v>
                </c:pt>
                <c:pt idx="17">
                  <c:v>62.098630136986301</c:v>
                </c:pt>
                <c:pt idx="18">
                  <c:v>63.098630136986301</c:v>
                </c:pt>
                <c:pt idx="19">
                  <c:v>64.098630136986301</c:v>
                </c:pt>
                <c:pt idx="20">
                  <c:v>65.098630136986301</c:v>
                </c:pt>
                <c:pt idx="21">
                  <c:v>66.098630136986301</c:v>
                </c:pt>
                <c:pt idx="22">
                  <c:v>67.098630136986301</c:v>
                </c:pt>
                <c:pt idx="23">
                  <c:v>68.098630136986301</c:v>
                </c:pt>
                <c:pt idx="24">
                  <c:v>69.098630136986301</c:v>
                </c:pt>
                <c:pt idx="25">
                  <c:v>70.098630136986301</c:v>
                </c:pt>
                <c:pt idx="26">
                  <c:v>71.098630136986301</c:v>
                </c:pt>
                <c:pt idx="27">
                  <c:v>72.098630136986301</c:v>
                </c:pt>
                <c:pt idx="28">
                  <c:v>73.098630136986301</c:v>
                </c:pt>
                <c:pt idx="29">
                  <c:v>74.098630136986301</c:v>
                </c:pt>
                <c:pt idx="30">
                  <c:v>75.098630136986301</c:v>
                </c:pt>
                <c:pt idx="31">
                  <c:v>76.098630136986301</c:v>
                </c:pt>
                <c:pt idx="32">
                  <c:v>77.098630136986301</c:v>
                </c:pt>
                <c:pt idx="33">
                  <c:v>78.098630136986301</c:v>
                </c:pt>
                <c:pt idx="34">
                  <c:v>79.098630136986301</c:v>
                </c:pt>
                <c:pt idx="35">
                  <c:v>80.098630136986301</c:v>
                </c:pt>
                <c:pt idx="36">
                  <c:v>81.098630136986301</c:v>
                </c:pt>
                <c:pt idx="37">
                  <c:v>82.098630136986301</c:v>
                </c:pt>
                <c:pt idx="38">
                  <c:v>83.098630136986301</c:v>
                </c:pt>
                <c:pt idx="39">
                  <c:v>84.098630136986301</c:v>
                </c:pt>
                <c:pt idx="40">
                  <c:v>85.098630136986301</c:v>
                </c:pt>
                <c:pt idx="41">
                  <c:v>86.098630136986301</c:v>
                </c:pt>
                <c:pt idx="42">
                  <c:v>87.098630136986301</c:v>
                </c:pt>
                <c:pt idx="43">
                  <c:v>88.098630136986301</c:v>
                </c:pt>
                <c:pt idx="44">
                  <c:v>89.098630136986301</c:v>
                </c:pt>
                <c:pt idx="45">
                  <c:v>90.098630136986301</c:v>
                </c:pt>
                <c:pt idx="46">
                  <c:v>91.098630136986301</c:v>
                </c:pt>
                <c:pt idx="47">
                  <c:v>92.098630136986301</c:v>
                </c:pt>
                <c:pt idx="48">
                  <c:v>93.098630136986301</c:v>
                </c:pt>
                <c:pt idx="49">
                  <c:v>94.098630136986301</c:v>
                </c:pt>
                <c:pt idx="50">
                  <c:v>95.098630136986301</c:v>
                </c:pt>
              </c:numCache>
            </c:numRef>
          </c:cat>
          <c:val>
            <c:numRef>
              <c:f>'Base PFi'!$Q$4:$Q$54</c:f>
              <c:numCache>
                <c:formatCode>_("R$"* #,##0.00_);_("R$"* \(#,##0.00\);_("R$"* "-"??_);_(@_)</c:formatCode>
                <c:ptCount val="51"/>
                <c:pt idx="0">
                  <c:v>2529609.3837177446</c:v>
                </c:pt>
                <c:pt idx="1">
                  <c:v>2210793.7590664541</c:v>
                </c:pt>
                <c:pt idx="2">
                  <c:v>1879225.5094291121</c:v>
                </c:pt>
                <c:pt idx="3">
                  <c:v>1534394.5298062768</c:v>
                </c:pt>
                <c:pt idx="4">
                  <c:v>1175770.3109985278</c:v>
                </c:pt>
                <c:pt idx="5">
                  <c:v>802801.1234384689</c:v>
                </c:pt>
                <c:pt idx="6">
                  <c:v>414913.1683760077</c:v>
                </c:pt>
                <c:pt idx="7">
                  <c:v>11509.695111047942</c:v>
                </c:pt>
                <c:pt idx="8">
                  <c:v>-408029.91708451015</c:v>
                </c:pt>
                <c:pt idx="9">
                  <c:v>-844351.11376789049</c:v>
                </c:pt>
                <c:pt idx="10">
                  <c:v>-1298125.1583186062</c:v>
                </c:pt>
                <c:pt idx="11">
                  <c:v>-1770050.1646513504</c:v>
                </c:pt>
                <c:pt idx="12">
                  <c:v>-2260852.1712374045</c:v>
                </c:pt>
                <c:pt idx="13">
                  <c:v>-2771286.2580869007</c:v>
                </c:pt>
                <c:pt idx="14">
                  <c:v>-3302137.7084103767</c:v>
                </c:pt>
                <c:pt idx="15">
                  <c:v>-3854223.2167467917</c:v>
                </c:pt>
                <c:pt idx="16">
                  <c:v>-4428392.145416664</c:v>
                </c:pt>
                <c:pt idx="17">
                  <c:v>-5025527.8312333301</c:v>
                </c:pt>
                <c:pt idx="18">
                  <c:v>-5646548.9444826636</c:v>
                </c:pt>
                <c:pt idx="19">
                  <c:v>-6292410.9022619706</c:v>
                </c:pt>
                <c:pt idx="20">
                  <c:v>-6964107.3383524492</c:v>
                </c:pt>
                <c:pt idx="21">
                  <c:v>-7662671.6318865474</c:v>
                </c:pt>
                <c:pt idx="22">
                  <c:v>-8389178.4971620105</c:v>
                </c:pt>
                <c:pt idx="23">
                  <c:v>-9144745.6370484903</c:v>
                </c:pt>
                <c:pt idx="24">
                  <c:v>-9930535.4625304304</c:v>
                </c:pt>
                <c:pt idx="25">
                  <c:v>-10747756.881031647</c:v>
                </c:pt>
                <c:pt idx="26">
                  <c:v>-11597667.156272912</c:v>
                </c:pt>
                <c:pt idx="27">
                  <c:v>-12481573.842523828</c:v>
                </c:pt>
                <c:pt idx="28">
                  <c:v>-13400836.79622478</c:v>
                </c:pt>
                <c:pt idx="29">
                  <c:v>-14356870.268073771</c:v>
                </c:pt>
                <c:pt idx="30">
                  <c:v>-15351145.078796722</c:v>
                </c:pt>
                <c:pt idx="31">
                  <c:v>-16385190.88194859</c:v>
                </c:pt>
                <c:pt idx="32">
                  <c:v>-17460598.517226532</c:v>
                </c:pt>
                <c:pt idx="33">
                  <c:v>-18579022.457915593</c:v>
                </c:pt>
                <c:pt idx="34">
                  <c:v>-19742183.356232218</c:v>
                </c:pt>
                <c:pt idx="35">
                  <c:v>-20951870.690481506</c:v>
                </c:pt>
                <c:pt idx="36">
                  <c:v>-22209945.518100768</c:v>
                </c:pt>
                <c:pt idx="37">
                  <c:v>-23518343.338824797</c:v>
                </c:pt>
                <c:pt idx="38">
                  <c:v>-24879077.07237779</c:v>
                </c:pt>
                <c:pt idx="39">
                  <c:v>-26294240.155272901</c:v>
                </c:pt>
                <c:pt idx="40">
                  <c:v>-27766009.761483818</c:v>
                </c:pt>
                <c:pt idx="41">
                  <c:v>-29296650.15194317</c:v>
                </c:pt>
                <c:pt idx="42">
                  <c:v>-30888516.158020895</c:v>
                </c:pt>
                <c:pt idx="43">
                  <c:v>-32544056.80434173</c:v>
                </c:pt>
                <c:pt idx="44">
                  <c:v>-34265819.076515399</c:v>
                </c:pt>
                <c:pt idx="45">
                  <c:v>-36056451.839576013</c:v>
                </c:pt>
                <c:pt idx="46">
                  <c:v>-37918709.913159057</c:v>
                </c:pt>
                <c:pt idx="47">
                  <c:v>-39855458.309685417</c:v>
                </c:pt>
                <c:pt idx="48">
                  <c:v>-41869676.642072834</c:v>
                </c:pt>
                <c:pt idx="49">
                  <c:v>-43964463.707755744</c:v>
                </c:pt>
                <c:pt idx="50">
                  <c:v>-46143042.256065972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1-4345-B696-D7046C063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99696"/>
        <c:axId val="67280144"/>
      </c:areaChart>
      <c:catAx>
        <c:axId val="6729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80144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72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9969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Progresso dos Aportes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07637219883771"/>
          <c:y val="0.15342960901439046"/>
          <c:w val="0.83369317452519098"/>
          <c:h val="0.64228436962621049"/>
        </c:manualLayout>
      </c:layout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74652527"/>
        <c:axId val="998193055"/>
      </c:barChart>
      <c:catAx>
        <c:axId val="874652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8193055"/>
        <c:crossesAt val="0"/>
        <c:auto val="1"/>
        <c:lblAlgn val="ctr"/>
        <c:lblOffset val="100"/>
        <c:noMultiLvlLbl val="0"/>
      </c:catAx>
      <c:valAx>
        <c:axId val="9981930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65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r>
              <a:rPr lang="pt-BR" sz="1400">
                <a:solidFill>
                  <a:schemeClr val="bg1"/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NÍVEIS DE PROTEÇÃO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3052720"/>
        <c:axId val="101304912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Controle!$E$12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8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hade val="58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shade val="58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Controle!$F$3:$G$3</c15:sqref>
                        </c15:formulaRef>
                      </c:ext>
                    </c:extLst>
                    <c:strCache>
                      <c:ptCount val="2"/>
                      <c:pt idx="0">
                        <c:v>Necessidade</c:v>
                      </c:pt>
                      <c:pt idx="1">
                        <c:v>Coberto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Controle!$H$12:$I$12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EE10-104F-A8DA-B0AAA0497069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ser>
          <c:idx val="1"/>
          <c:order val="0"/>
          <c:tx>
            <c:strRef>
              <c:f>Controle!$E$4</c:f>
              <c:strCache>
                <c:ptCount val="1"/>
                <c:pt idx="0">
                  <c:v>RE - 100%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Controle!$H$4:$I$4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0-104F-A8DA-B0AAA0497069}"/>
            </c:ext>
          </c:extLst>
        </c:ser>
        <c:ser>
          <c:idx val="2"/>
          <c:order val="1"/>
          <c:tx>
            <c:strRef>
              <c:f>Controle!$E$5</c:f>
              <c:strCache>
                <c:ptCount val="1"/>
                <c:pt idx="0">
                  <c:v>Asset Allocation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Controle!$H$5:$I$5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10-104F-A8DA-B0AAA0497069}"/>
            </c:ext>
          </c:extLst>
        </c:ser>
        <c:ser>
          <c:idx val="4"/>
          <c:order val="2"/>
          <c:tx>
            <c:strRef>
              <c:f>Controle!$E$7</c:f>
              <c:strCache>
                <c:ptCount val="1"/>
                <c:pt idx="0">
                  <c:v>Blindagem Patrimonial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Controle!$H$7:$I$7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10-104F-A8DA-B0AAA0497069}"/>
            </c:ext>
          </c:extLst>
        </c:ser>
        <c:ser>
          <c:idx val="6"/>
          <c:order val="3"/>
          <c:tx>
            <c:strRef>
              <c:f>Controle!$E$9</c:f>
              <c:strCache>
                <c:ptCount val="1"/>
                <c:pt idx="0">
                  <c:v>Previdência VGBL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Controle!$H$9:$I$9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EE10-104F-A8DA-B0AAA0497069}"/>
            </c:ext>
          </c:extLst>
        </c:ser>
        <c:ser>
          <c:idx val="3"/>
          <c:order val="4"/>
          <c:tx>
            <c:strRef>
              <c:f>Controle!$E$6</c:f>
              <c:strCache>
                <c:ptCount val="1"/>
                <c:pt idx="0">
                  <c:v>Seguro de Vida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Controle!$H$6:$I$6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10-104F-A8DA-B0AAA0497069}"/>
            </c:ext>
          </c:extLst>
        </c:ser>
        <c:ser>
          <c:idx val="5"/>
          <c:order val="5"/>
          <c:tx>
            <c:strRef>
              <c:f>Controle!$E$8</c:f>
              <c:strCache>
                <c:ptCount val="1"/>
                <c:pt idx="0">
                  <c:v>Plano de Saúde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Controle!$H$8:$I$8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10-104F-A8DA-B0AAA0497069}"/>
            </c:ext>
          </c:extLst>
        </c:ser>
        <c:ser>
          <c:idx val="8"/>
          <c:order val="6"/>
          <c:tx>
            <c:v>Blindagem Patrimonial</c:v>
          </c:tx>
          <c:spPr>
            <a:gradFill rotWithShape="1">
              <a:gsLst>
                <a:gs pos="0">
                  <a:schemeClr val="accent6">
                    <a:shade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Controle!$F$3:$G$3</c:f>
              <c:strCache>
                <c:ptCount val="2"/>
                <c:pt idx="0">
                  <c:v>Necessidade</c:v>
                </c:pt>
                <c:pt idx="1">
                  <c:v>Coberto</c:v>
                </c:pt>
              </c:strCache>
            </c:strRef>
          </c:cat>
          <c:val>
            <c:numRef>
              <c:f>Controle!$H$13:$I$13</c:f>
              <c:numCache>
                <c:formatCode>General</c:formatCode>
                <c:ptCount val="2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EE10-104F-A8DA-B0AAA0497069}"/>
            </c:ext>
          </c:extLst>
        </c:ser>
        <c:ser>
          <c:idx val="9"/>
          <c:order val="8"/>
          <c:tx>
            <c:v>Cobertura Adicional</c:v>
          </c:tx>
          <c:spPr>
            <a:gradFill rotWithShape="1">
              <a:gsLst>
                <a:gs pos="0">
                  <a:schemeClr val="accent6">
                    <a:shade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Controle!$H$10:$I$10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8-4C7E-AD84-DD8D51CD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3052720"/>
        <c:axId val="1013049120"/>
      </c:barChart>
      <c:catAx>
        <c:axId val="101305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049120"/>
        <c:crosses val="autoZero"/>
        <c:auto val="1"/>
        <c:lblAlgn val="ctr"/>
        <c:lblOffset val="100"/>
        <c:noMultiLvlLbl val="0"/>
      </c:catAx>
      <c:valAx>
        <c:axId val="101304912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05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8284170597481975"/>
          <c:y val="0.40712495126775922"/>
          <c:w val="0.29486922541888766"/>
          <c:h val="0.45271557632998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Arial Rounded MT Bold" panose="020F0704030504030204" pitchFamily="34" charset="77"/>
              <a:ea typeface="ADLaM Display" panose="02010000000000000000" pitchFamily="2" charset="77"/>
              <a:cs typeface="ADLaM Display" panose="02010000000000000000" pitchFamily="2" charset="77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>
      <a:solidFill>
        <a:schemeClr val="bg1">
          <a:lumMod val="85000"/>
        </a:schemeClr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r>
              <a:rPr lang="pt-BR">
                <a:solidFill>
                  <a:schemeClr val="bg1"/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INDICADORES</a:t>
            </a:r>
            <a:r>
              <a:rPr lang="pt-BR" baseline="0">
                <a:solidFill>
                  <a:schemeClr val="bg1"/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 DE </a:t>
            </a:r>
            <a:r>
              <a:rPr lang="pt-BR">
                <a:solidFill>
                  <a:schemeClr val="bg1"/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LEGADO E PROTEÇÃO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BD4F-BD4A-AD26-4B65D2DA1DA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4F-BD4A-AD26-4B65D2DA1DA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D4F-BD4A-AD26-4B65D2DA1D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Arial Rounded MT Bold" panose="020F0704030504030204" pitchFamily="34" charset="77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(Controle!$A$4,Controle!$A$5,Controle!$A$11)</c:f>
              <c:strCache>
                <c:ptCount val="3"/>
                <c:pt idx="0">
                  <c:v>Patrimônio Exposto a Inventário</c:v>
                </c:pt>
                <c:pt idx="1">
                  <c:v>Custo estimado com inventário</c:v>
                </c:pt>
                <c:pt idx="2">
                  <c:v>Cobertura adicional </c:v>
                </c:pt>
              </c:strCache>
            </c:strRef>
          </c:cat>
          <c:val>
            <c:numRef>
              <c:f>(Controle!$B$4,Controle!$B$5,Controle!$B$11)</c:f>
              <c:numCache>
                <c:formatCode>"R$"\ #,##0.00</c:formatCode>
                <c:ptCount val="3"/>
                <c:pt idx="0">
                  <c:v>-412000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C-5043-BA95-82F1B03177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19091872"/>
        <c:axId val="519651744"/>
      </c:barChart>
      <c:catAx>
        <c:axId val="519091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endParaRPr lang="pt-BR"/>
          </a:p>
        </c:txPr>
        <c:crossAx val="519651744"/>
        <c:crosses val="autoZero"/>
        <c:auto val="1"/>
        <c:lblAlgn val="ctr"/>
        <c:lblOffset val="100"/>
        <c:noMultiLvlLbl val="0"/>
      </c:catAx>
      <c:valAx>
        <c:axId val="51965174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5190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>
      <a:solidFill>
        <a:schemeClr val="bg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r>
              <a:rPr lang="pt-BR"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INDICADORES</a:t>
            </a:r>
            <a:r>
              <a:rPr lang="pt-BR" baseline="0"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 DE </a:t>
            </a:r>
            <a:r>
              <a:rPr lang="pt-BR"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LEGADO E PROTEÇÃO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Controle!$B$3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2B-DE44-BE3B-5B0C4DE8853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2B-DE44-BE3B-5B0C4DE88538}"/>
              </c:ext>
            </c:extLst>
          </c:dPt>
          <c:dLbls>
            <c:numFmt formatCode="&quot;R$&quot;\ #,##0.00" sourceLinked="0"/>
            <c:spPr>
              <a:noFill/>
              <a:ln>
                <a:solidFill>
                  <a:schemeClr val="accent1">
                    <a:alpha val="99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 Rounded MT Bold" panose="020F0704030504030204" pitchFamily="34" charset="77"/>
                    <a:ea typeface="ADLaM Display" panose="02010000000000000000" pitchFamily="2" charset="77"/>
                    <a:cs typeface="ADLaM Display" panose="02010000000000000000" pitchFamily="2" charset="77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Controle!$A$6:$A$7</c:f>
              <c:strCache>
                <c:ptCount val="2"/>
                <c:pt idx="0">
                  <c:v>Cobertura atual para legado</c:v>
                </c:pt>
                <c:pt idx="1">
                  <c:v>Necessidade adicional para inventário</c:v>
                </c:pt>
              </c:strCache>
            </c:strRef>
          </c:cat>
          <c:val>
            <c:numRef>
              <c:f>Controle!$B$6:$B$7</c:f>
              <c:numCache>
                <c:formatCode>"R$"\ #,##0.00</c:formatCode>
                <c:ptCount val="2"/>
                <c:pt idx="0">
                  <c:v>600000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2B-DE44-BE3B-5B0C4DE885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19091872"/>
        <c:axId val="519651744"/>
      </c:barChart>
      <c:catAx>
        <c:axId val="519091872"/>
        <c:scaling>
          <c:orientation val="minMax"/>
        </c:scaling>
        <c:delete val="0"/>
        <c:axPos val="l"/>
        <c:numFmt formatCode="&quot;R$&quot;\ #,##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endParaRPr lang="pt-BR"/>
          </a:p>
        </c:txPr>
        <c:crossAx val="519651744"/>
        <c:crosses val="autoZero"/>
        <c:auto val="1"/>
        <c:lblAlgn val="ctr"/>
        <c:lblOffset val="100"/>
        <c:tickMarkSkip val="1"/>
        <c:noMultiLvlLbl val="0"/>
      </c:catAx>
      <c:valAx>
        <c:axId val="519651744"/>
        <c:scaling>
          <c:orientation val="minMax"/>
          <c:min val="0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5190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>
      <a:solidFill>
        <a:schemeClr val="bg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r>
              <a:rPr lang="pt-BR"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INDICADORES</a:t>
            </a:r>
            <a:r>
              <a:rPr lang="pt-BR" baseline="0"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 DE </a:t>
            </a:r>
            <a:r>
              <a:rPr lang="pt-BR"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rPr>
              <a:t>PROTEÇÃO DE RENDA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6F-C642-BE0C-1A31E312217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6F-C642-BE0C-1A31E31221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 Rounded MT Bold" panose="020F0704030504030204" pitchFamily="34" charset="77"/>
                    <a:ea typeface="ADLaM Display" panose="02010000000000000000" pitchFamily="2" charset="77"/>
                    <a:cs typeface="ADLaM Display" panose="02010000000000000000" pitchFamily="2" charset="77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Controle!$A$9:$A$11</c15:sqref>
                  </c15:fullRef>
                </c:ext>
              </c:extLst>
              <c:f>Controle!$A$9:$A$10</c:f>
              <c:strCache>
                <c:ptCount val="2"/>
                <c:pt idx="0">
                  <c:v>Proteção Invalidez Ideal (0,5% a.m.)</c:v>
                </c:pt>
                <c:pt idx="1">
                  <c:v>Proteção Invalidez Atual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Controle!$B$9:$B$11</c15:sqref>
                  </c15:fullRef>
                </c:ext>
              </c:extLst>
              <c:f>Controle!$B$9:$B$10</c:f>
              <c:numCache>
                <c:formatCode>"R$"\ #,##0.00</c:formatCode>
                <c:ptCount val="2"/>
                <c:pt idx="0">
                  <c:v>3000000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6F-C642-BE0C-1A31E31221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19091872"/>
        <c:axId val="519651744"/>
      </c:barChart>
      <c:catAx>
        <c:axId val="519091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DLaM Display" panose="02010000000000000000" pitchFamily="2" charset="77"/>
                <a:ea typeface="ADLaM Display" panose="02010000000000000000" pitchFamily="2" charset="77"/>
                <a:cs typeface="ADLaM Display" panose="02010000000000000000" pitchFamily="2" charset="77"/>
              </a:defRPr>
            </a:pPr>
            <a:endParaRPr lang="pt-BR"/>
          </a:p>
        </c:txPr>
        <c:crossAx val="519651744"/>
        <c:crosses val="autoZero"/>
        <c:auto val="1"/>
        <c:lblAlgn val="ctr"/>
        <c:lblOffset val="100"/>
        <c:noMultiLvlLbl val="0"/>
      </c:catAx>
      <c:valAx>
        <c:axId val="51965174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5190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>
      <a:solidFill>
        <a:schemeClr val="bg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Progresso dos</a:t>
            </a:r>
            <a:r>
              <a:rPr lang="en-US" sz="1800" baseline="0"/>
              <a:t> aportes</a:t>
            </a:r>
          </a:p>
        </c:rich>
      </c:tx>
      <c:layout>
        <c:manualLayout>
          <c:xMode val="edge"/>
          <c:yMode val="edge"/>
          <c:x val="1.1766333262396256E-2"/>
          <c:y val="0.3093330735260274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520384276289787"/>
          <c:y val="8.9429426201006842E-2"/>
          <c:w val="0.67925303256011915"/>
          <c:h val="0.7062839212313522"/>
        </c:manualLayout>
      </c:layout>
      <c:barChart>
        <c:barDir val="bar"/>
        <c:grouping val="clustered"/>
        <c:varyColors val="0"/>
        <c:ser>
          <c:idx val="0"/>
          <c:order val="0"/>
          <c:tx>
            <c:v>Progresso</c:v>
          </c:tx>
          <c:spPr>
            <a:solidFill>
              <a:srgbClr val="00B050"/>
            </a:solidFill>
            <a:ln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F5F-4F12-B63F-22169FE569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Controle!$C$15</c:f>
              <c:numCache>
                <c:formatCode>General</c:formatCode>
                <c:ptCount val="1"/>
              </c:numCache>
            </c:numRef>
          </c:cat>
          <c:val>
            <c:numRef>
              <c:f>Controle!$C$18</c:f>
              <c:numCache>
                <c:formatCode>0%</c:formatCode>
                <c:ptCount val="1"/>
                <c:pt idx="0">
                  <c:v>3.4074074074074076E-2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chemeClr val="accent1"/>
                    </a:solidFill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CF5F-4F12-B63F-22169FE569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0"/>
        <c:axId val="874652527"/>
        <c:axId val="998193055"/>
      </c:barChart>
      <c:catAx>
        <c:axId val="874652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8193055"/>
        <c:crossesAt val="0"/>
        <c:auto val="1"/>
        <c:lblAlgn val="ctr"/>
        <c:lblOffset val="100"/>
        <c:noMultiLvlLbl val="0"/>
      </c:catAx>
      <c:valAx>
        <c:axId val="9981930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65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>
      <a:solidFill>
        <a:schemeClr val="bg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solidFill>
                  <a:schemeClr val="bg1"/>
                </a:solidFill>
              </a:rPr>
              <a:t>FUTURO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62598425196851"/>
          <c:y val="0.13300220827816225"/>
          <c:w val="0.84604063299835719"/>
          <c:h val="0.835110403326062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966119710151049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2C4E1EC-5014-4561-A44F-F28B22F4A34C}" type="VALUE">
                      <a:rPr lang="en-US" sz="1200">
                        <a:solidFill>
                          <a:srgbClr val="FFFF00"/>
                        </a:solidFill>
                      </a:rPr>
                      <a:pPr>
                        <a:defRPr sz="1200" b="1"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715154749484821"/>
                      <c:h val="5.908189729003903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142-412C-93DA-E77CF33FA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Controle!$B$13</c:f>
              <c:numCache>
                <c:formatCode>0.00%</c:formatCode>
                <c:ptCount val="1"/>
                <c:pt idx="0">
                  <c:v>0.12794029557712158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42-412C-93DA-E77CF33FA3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809857391"/>
        <c:axId val="809857871"/>
      </c:barChart>
      <c:catAx>
        <c:axId val="809857391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09857871"/>
        <c:crosses val="autoZero"/>
        <c:auto val="1"/>
        <c:lblAlgn val="ctr"/>
        <c:lblOffset val="100"/>
        <c:noMultiLvlLbl val="0"/>
      </c:catAx>
      <c:valAx>
        <c:axId val="8098578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85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6.xml"/><Relationship Id="rId7" Type="http://schemas.openxmlformats.org/officeDocument/2006/relationships/chart" Target="../charts/chart9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518160</xdr:colOff>
      <xdr:row>0</xdr:row>
      <xdr:rowOff>74228</xdr:rowOff>
    </xdr:from>
    <xdr:to>
      <xdr:col>4</xdr:col>
      <xdr:colOff>895350</xdr:colOff>
      <xdr:row>0</xdr:row>
      <xdr:rowOff>434583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00BC84-8745-41D3-B21B-63F18B8C2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0640" y="74228"/>
          <a:ext cx="365760" cy="367975"/>
        </a:xfrm>
        <a:prstGeom prst="rect">
          <a:avLst/>
        </a:prstGeom>
      </xdr:spPr>
    </xdr:pic>
    <xdr:clientData/>
  </xdr:twoCellAnchor>
  <xdr:twoCellAnchor editAs="oneCell">
    <xdr:from>
      <xdr:col>0</xdr:col>
      <xdr:colOff>378459</xdr:colOff>
      <xdr:row>0</xdr:row>
      <xdr:rowOff>120527</xdr:rowOff>
    </xdr:from>
    <xdr:to>
      <xdr:col>0</xdr:col>
      <xdr:colOff>1653540</xdr:colOff>
      <xdr:row>0</xdr:row>
      <xdr:rowOff>398163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BAFB61-2BAD-4D37-99D0-07039535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459" y="120527"/>
          <a:ext cx="1275081" cy="277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152136</xdr:colOff>
      <xdr:row>10</xdr:row>
      <xdr:rowOff>454554</xdr:rowOff>
    </xdr:from>
    <xdr:to>
      <xdr:col>11</xdr:col>
      <xdr:colOff>394495</xdr:colOff>
      <xdr:row>20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165100</xdr:colOff>
      <xdr:row>23</xdr:row>
      <xdr:rowOff>81011</xdr:rowOff>
    </xdr:from>
    <xdr:to>
      <xdr:col>13</xdr:col>
      <xdr:colOff>1185333</xdr:colOff>
      <xdr:row>41</xdr:row>
      <xdr:rowOff>3440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267247</xdr:colOff>
      <xdr:row>0</xdr:row>
      <xdr:rowOff>0</xdr:rowOff>
    </xdr:from>
    <xdr:to>
      <xdr:col>12</xdr:col>
      <xdr:colOff>267247</xdr:colOff>
      <xdr:row>6</xdr:row>
      <xdr:rowOff>16510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3235" r="3982"/>
        <a:stretch/>
      </xdr:blipFill>
      <xdr:spPr>
        <a:xfrm>
          <a:off x="11989347" y="0"/>
          <a:ext cx="3218903" cy="1097280"/>
        </a:xfrm>
        <a:prstGeom prst="rect">
          <a:avLst/>
        </a:prstGeom>
      </xdr:spPr>
    </xdr:pic>
    <xdr:clientData/>
  </xdr:twoCellAnchor>
  <xdr:twoCellAnchor editAs="oneCell">
    <xdr:from>
      <xdr:col>13</xdr:col>
      <xdr:colOff>62854</xdr:colOff>
      <xdr:row>0</xdr:row>
      <xdr:rowOff>182842</xdr:rowOff>
    </xdr:from>
    <xdr:to>
      <xdr:col>13</xdr:col>
      <xdr:colOff>1317171</xdr:colOff>
      <xdr:row>0</xdr:row>
      <xdr:rowOff>854590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2940" y="182842"/>
          <a:ext cx="1254317" cy="666033"/>
        </a:xfrm>
        <a:prstGeom prst="rect">
          <a:avLst/>
        </a:prstGeom>
      </xdr:spPr>
    </xdr:pic>
    <xdr:clientData/>
  </xdr:twoCellAnchor>
  <xdr:twoCellAnchor editAs="oneCell">
    <xdr:from>
      <xdr:col>2</xdr:col>
      <xdr:colOff>753390</xdr:colOff>
      <xdr:row>0</xdr:row>
      <xdr:rowOff>338378</xdr:rowOff>
    </xdr:from>
    <xdr:to>
      <xdr:col>3</xdr:col>
      <xdr:colOff>175008</xdr:colOff>
      <xdr:row>0</xdr:row>
      <xdr:rowOff>779379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305" y="338378"/>
          <a:ext cx="2076865" cy="4448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937260</xdr:colOff>
      <xdr:row>0</xdr:row>
      <xdr:rowOff>111761</xdr:rowOff>
    </xdr:from>
    <xdr:to>
      <xdr:col>8</xdr:col>
      <xdr:colOff>629285</xdr:colOff>
      <xdr:row>0</xdr:row>
      <xdr:rowOff>781294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F9A7BD-5679-45CF-92DB-9ECECF8D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0" y="111761"/>
          <a:ext cx="669290" cy="673343"/>
        </a:xfrm>
        <a:prstGeom prst="rect">
          <a:avLst/>
        </a:prstGeom>
      </xdr:spPr>
    </xdr:pic>
    <xdr:clientData/>
  </xdr:twoCellAnchor>
  <xdr:twoCellAnchor editAs="oneCell">
    <xdr:from>
      <xdr:col>0</xdr:col>
      <xdr:colOff>505405</xdr:colOff>
      <xdr:row>0</xdr:row>
      <xdr:rowOff>218875</xdr:rowOff>
    </xdr:from>
    <xdr:to>
      <xdr:col>0</xdr:col>
      <xdr:colOff>1925508</xdr:colOff>
      <xdr:row>0</xdr:row>
      <xdr:rowOff>651109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00A69A-A269-40D2-AEB0-BC1E029E3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05" y="218875"/>
          <a:ext cx="1423913" cy="43223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121920</xdr:rowOff>
    </xdr:from>
    <xdr:to>
      <xdr:col>4</xdr:col>
      <xdr:colOff>1211580</xdr:colOff>
      <xdr:row>39</xdr:row>
      <xdr:rowOff>15240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7E1C0C7-CDB7-B441-E227-84FCFCAB9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0</xdr:row>
          <xdr:rowOff>0</xdr:rowOff>
        </xdr:from>
        <xdr:to>
          <xdr:col>11</xdr:col>
          <xdr:colOff>15240</xdr:colOff>
          <xdr:row>0</xdr:row>
          <xdr:rowOff>15240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Atualizar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129241</xdr:colOff>
      <xdr:row>6</xdr:row>
      <xdr:rowOff>152400</xdr:rowOff>
    </xdr:from>
    <xdr:to>
      <xdr:col>5</xdr:col>
      <xdr:colOff>718269</xdr:colOff>
      <xdr:row>48</xdr:row>
      <xdr:rowOff>794657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952363</xdr:colOff>
      <xdr:row>6</xdr:row>
      <xdr:rowOff>161925</xdr:rowOff>
    </xdr:from>
    <xdr:to>
      <xdr:col>15</xdr:col>
      <xdr:colOff>620485</xdr:colOff>
      <xdr:row>22</xdr:row>
      <xdr:rowOff>58058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962301</xdr:colOff>
      <xdr:row>23</xdr:row>
      <xdr:rowOff>27820</xdr:rowOff>
    </xdr:from>
    <xdr:to>
      <xdr:col>15</xdr:col>
      <xdr:colOff>633118</xdr:colOff>
      <xdr:row>35</xdr:row>
      <xdr:rowOff>88295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C5CA812-74CA-D042-AD81-0613CE7F0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178524</xdr:colOff>
      <xdr:row>1</xdr:row>
      <xdr:rowOff>66131</xdr:rowOff>
    </xdr:from>
    <xdr:to>
      <xdr:col>3</xdr:col>
      <xdr:colOff>1279071</xdr:colOff>
      <xdr:row>5</xdr:row>
      <xdr:rowOff>81643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FF46A975-4E2E-924F-BB9B-284E3D30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53" y="297452"/>
          <a:ext cx="3876404" cy="913584"/>
        </a:xfrm>
        <a:prstGeom prst="rect">
          <a:avLst/>
        </a:prstGeom>
      </xdr:spPr>
    </xdr:pic>
    <xdr:clientData/>
  </xdr:twoCellAnchor>
  <xdr:twoCellAnchor>
    <xdr:from>
      <xdr:col>5</xdr:col>
      <xdr:colOff>954524</xdr:colOff>
      <xdr:row>36</xdr:row>
      <xdr:rowOff>107858</xdr:rowOff>
    </xdr:from>
    <xdr:to>
      <xdr:col>15</xdr:col>
      <xdr:colOff>625341</xdr:colOff>
      <xdr:row>48</xdr:row>
      <xdr:rowOff>799705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DA44A78-582C-E64B-84C6-2FD6A53CC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949779</xdr:colOff>
      <xdr:row>0</xdr:row>
      <xdr:rowOff>123825</xdr:rowOff>
    </xdr:from>
    <xdr:to>
      <xdr:col>15</xdr:col>
      <xdr:colOff>576943</xdr:colOff>
      <xdr:row>6</xdr:row>
      <xdr:rowOff>4083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AED81C-21C9-4E6A-8484-CB89244F1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805542</xdr:colOff>
      <xdr:row>6</xdr:row>
      <xdr:rowOff>152400</xdr:rowOff>
    </xdr:from>
    <xdr:to>
      <xdr:col>18</xdr:col>
      <xdr:colOff>609600</xdr:colOff>
      <xdr:row>48</xdr:row>
      <xdr:rowOff>805543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7D2FEA-39CE-D022-9C2E-A1078635C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16</xdr:col>
      <xdr:colOff>239485</xdr:colOff>
      <xdr:row>2</xdr:row>
      <xdr:rowOff>54431</xdr:rowOff>
    </xdr:from>
    <xdr:ext cx="1730829" cy="446313"/>
    <xdr:pic>
      <xdr:nvPicPr>
        <xdr:cNvPr id="5" name="Imagem 4">
          <a:extLst>
            <a:ext uri="{FF2B5EF4-FFF2-40B4-BE49-F238E27FC236}">
              <a16:creationId xmlns:a16="http://schemas.microsoft.com/office/drawing/2014/main" id="{247514AB-BB10-4F81-A1C6-1B8382C78867}"/>
            </a:ext>
            <a:ext uri="{147F2762-F138-4A5C-976F-8EAC2B608ADB}">
              <a16:predDERef xmlns:a16="http://schemas.microsoft.com/office/drawing/2014/main" pred="{78C3BE39-5364-43B2-8B11-BA7F67625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809028" y="511631"/>
          <a:ext cx="1730829" cy="446313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AC1723-356D-754A-BC68-E2F37BEAC0C8}" name="Tabela1" displayName="Tabela1" ref="E3:J30" totalsRowShown="0">
  <autoFilter ref="E3:J30" xr:uid="{48AC1723-356D-754A-BC68-E2F37BEAC0C8}"/>
  <tableColumns count="6">
    <tableColumn id="1" xr3:uid="{AC5A2C17-3E40-A14C-964B-968BD1288C88}" name="IDADE" dataDxfId="29"/>
    <tableColumn id="2" xr3:uid="{B6BB2D94-24FE-6048-9E8F-8E305B46389D}" name="Ano" dataDxfId="28"/>
    <tableColumn id="3" xr3:uid="{DA4FCEC5-ADBC-304F-9146-846785080693}" name="Juros" dataDxfId="27">
      <calculatedColumnFormula>Tabela1[[#This Row],[TotalAcumulado]]-Tabela1[[#This Row],[Total Investido]]</calculatedColumnFormula>
    </tableColumn>
    <tableColumn id="4" xr3:uid="{05C01622-6D5D-C14A-A93C-819D95E2C547}" name="Total Investido"/>
    <tableColumn id="5" xr3:uid="{2965B5AE-3DA1-9947-85F6-312EC0DCC6F1}" name="Total Juros" dataDxfId="26">
      <calculatedColumnFormula>Tabela1[[#This Row],[Juros]]</calculatedColumnFormula>
    </tableColumn>
    <tableColumn id="6" xr3:uid="{418C62F5-9B65-5C4E-B7D4-A31A6D9C5593}" name="TotalAcumulado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A3BF00-5095-0F43-92EB-C8E4B3297D55}" name="Tabela4620" displayName="Tabela4620" ref="O3:T54" totalsRowShown="0">
  <autoFilter ref="O3:T54" xr:uid="{34A3BF00-5095-0F43-92EB-C8E4B3297D55}"/>
  <tableColumns count="6">
    <tableColumn id="1" xr3:uid="{5153FA45-491F-504C-98D3-5DCE8F952D06}" name="ANO" dataDxfId="24">
      <calculatedColumnFormula>1</calculatedColumnFormula>
    </tableColumn>
    <tableColumn id="6" xr3:uid="{8EEA4D07-0859-D046-A79B-AD4BC36F4884}" name="IDADE" dataDxfId="23"/>
    <tableColumn id="2" xr3:uid="{88C36BAD-AED7-0945-A87C-5A12525781FB}" name="PL" dataDxfId="22"/>
    <tableColumn id="3" xr3:uid="{8630C27C-F644-D34B-A220-DEBC530414C0}" name="RENDA ANO" dataDxfId="21"/>
    <tableColumn id="4" xr3:uid="{217AC156-BBED-234D-9D49-7EC82987F4C0}" name="GASTO ANO"/>
    <tableColumn id="5" xr3:uid="{0ECD8094-B59C-D648-9D48-A9213320E3A1}" name="GASTO MÊS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A7F4E01-9710-4363-8009-CC7EB9B4D822}">
  <we:reference id="wa200006234" version="1.0.0.106" store="pt-BR" storeType="OMEX"/>
  <we:alternateReferences>
    <we:reference id="wa200006234" version="1.0.0.106" store="pt-B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_xldudf_COEFF_PROD_GET_IMPORT_HEADER_STRING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2.xml><?xml version="1.0" encoding="utf-8"?>
<we:webextension xmlns:we="http://schemas.microsoft.com/office/webextensions/webextension/2010/11" id="{ACA24241-5082-4123-9F2C-090D7190443B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_7oj4OWnd0-GvQog5Q6J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F3A5-DD51-4678-9510-8E83C0FA53C5}">
  <dimension ref="A1:G92"/>
  <sheetViews>
    <sheetView showGridLines="0" tabSelected="1" topLeftCell="A47" zoomScale="85" zoomScaleNormal="85" workbookViewId="0">
      <selection activeCell="B68" sqref="B68"/>
    </sheetView>
  </sheetViews>
  <sheetFormatPr defaultColWidth="10.796875" defaultRowHeight="15.6" x14ac:dyDescent="0.3"/>
  <cols>
    <col min="1" max="1" width="44.3984375" style="114" bestFit="1" customWidth="1"/>
    <col min="2" max="2" width="31.69921875" style="114" customWidth="1"/>
    <col min="3" max="3" width="21.796875" style="114" customWidth="1"/>
    <col min="4" max="4" width="16.796875" style="114" customWidth="1"/>
    <col min="5" max="5" width="19.5" style="114" customWidth="1"/>
    <col min="6" max="6" width="2" style="114" customWidth="1"/>
    <col min="7" max="16384" width="10.796875" style="114"/>
  </cols>
  <sheetData>
    <row r="1" spans="1:5" ht="39.6" customHeight="1" x14ac:dyDescent="0.3">
      <c r="A1" s="252" t="s">
        <v>92</v>
      </c>
      <c r="B1" s="253"/>
      <c r="C1" s="253"/>
      <c r="D1" s="253"/>
      <c r="E1" s="254"/>
    </row>
    <row r="3" spans="1:5" ht="15.6" customHeight="1" x14ac:dyDescent="0.3">
      <c r="A3" s="255" t="s">
        <v>93</v>
      </c>
      <c r="B3" s="256"/>
      <c r="C3" s="256"/>
      <c r="D3" s="256"/>
      <c r="E3" s="257"/>
    </row>
    <row r="4" spans="1:5" x14ac:dyDescent="0.3">
      <c r="A4" s="115" t="s">
        <v>4</v>
      </c>
      <c r="B4" s="116" t="s">
        <v>94</v>
      </c>
      <c r="C4" s="116" t="s">
        <v>1</v>
      </c>
      <c r="D4" s="116" t="s">
        <v>2</v>
      </c>
      <c r="E4" s="116" t="s">
        <v>3</v>
      </c>
    </row>
    <row r="5" spans="1:5" x14ac:dyDescent="0.3">
      <c r="A5" s="117"/>
      <c r="B5" s="168" t="str">
        <f>B56</f>
        <v>Conservador</v>
      </c>
      <c r="C5" s="119">
        <v>31456</v>
      </c>
      <c r="D5" s="120">
        <f ca="1">IF(C5="","",(TODAY()-C5)/365)</f>
        <v>40.098630136986301</v>
      </c>
      <c r="E5" s="121" t="s">
        <v>190</v>
      </c>
    </row>
    <row r="7" spans="1:5" x14ac:dyDescent="0.3">
      <c r="A7" s="255" t="s">
        <v>95</v>
      </c>
      <c r="B7" s="256"/>
      <c r="C7" s="256"/>
      <c r="D7" s="256"/>
      <c r="E7" s="257"/>
    </row>
    <row r="8" spans="1:5" x14ac:dyDescent="0.3">
      <c r="A8" s="115" t="s">
        <v>4</v>
      </c>
      <c r="B8" s="116" t="s">
        <v>96</v>
      </c>
      <c r="C8" s="116" t="s">
        <v>1</v>
      </c>
      <c r="D8" s="116" t="s">
        <v>2</v>
      </c>
      <c r="E8" s="116" t="s">
        <v>3</v>
      </c>
    </row>
    <row r="9" spans="1:5" x14ac:dyDescent="0.3">
      <c r="A9" s="122"/>
      <c r="B9" s="3"/>
      <c r="C9" s="124"/>
      <c r="D9" s="120" t="str">
        <f ca="1">IF(C9="","",(TODAY()-C9)/365)</f>
        <v/>
      </c>
      <c r="E9" s="123"/>
    </row>
    <row r="10" spans="1:5" x14ac:dyDescent="0.3">
      <c r="A10" s="125"/>
      <c r="B10" s="126"/>
      <c r="C10" s="127"/>
      <c r="D10" s="128" t="str">
        <f ca="1">IF(C10="","",(TODAY()-C10)/365)</f>
        <v/>
      </c>
      <c r="E10" s="126"/>
    </row>
    <row r="11" spans="1:5" x14ac:dyDescent="0.3">
      <c r="A11" s="122"/>
      <c r="B11" s="3"/>
      <c r="C11" s="124"/>
      <c r="D11" s="120" t="str">
        <f ca="1">IF(C11="","",(TODAY()-C11)/365)</f>
        <v/>
      </c>
      <c r="E11" s="123"/>
    </row>
    <row r="12" spans="1:5" x14ac:dyDescent="0.3">
      <c r="A12" s="125"/>
      <c r="B12" s="126"/>
      <c r="C12" s="127"/>
      <c r="D12" s="128" t="str">
        <f ca="1">IF(C12="","",(TODAY()-C12)/365)</f>
        <v/>
      </c>
      <c r="E12" s="126"/>
    </row>
    <row r="14" spans="1:5" x14ac:dyDescent="0.3">
      <c r="A14" s="258" t="s">
        <v>141</v>
      </c>
      <c r="B14" s="259"/>
      <c r="C14" s="259"/>
      <c r="D14" s="259"/>
      <c r="E14" s="260"/>
    </row>
    <row r="15" spans="1:5" x14ac:dyDescent="0.3">
      <c r="A15" s="129" t="s">
        <v>100</v>
      </c>
      <c r="B15" s="136">
        <v>388000</v>
      </c>
      <c r="C15" s="261" t="s">
        <v>97</v>
      </c>
      <c r="D15" s="242"/>
      <c r="E15" s="242"/>
    </row>
    <row r="16" spans="1:5" x14ac:dyDescent="0.3">
      <c r="A16" s="130" t="s">
        <v>101</v>
      </c>
      <c r="B16" s="137">
        <v>0</v>
      </c>
      <c r="C16" s="243" t="s">
        <v>197</v>
      </c>
      <c r="D16" s="244"/>
      <c r="E16" s="245"/>
    </row>
    <row r="17" spans="1:5" x14ac:dyDescent="0.3">
      <c r="A17" s="129" t="s">
        <v>102</v>
      </c>
      <c r="B17" s="136">
        <v>0</v>
      </c>
      <c r="C17" s="246"/>
      <c r="D17" s="247"/>
      <c r="E17" s="248"/>
    </row>
    <row r="18" spans="1:5" x14ac:dyDescent="0.3">
      <c r="A18" s="130" t="s">
        <v>103</v>
      </c>
      <c r="B18" s="158">
        <f>SUM(B15:B17)</f>
        <v>388000</v>
      </c>
      <c r="C18" s="246"/>
      <c r="D18" s="247"/>
      <c r="E18" s="248"/>
    </row>
    <row r="19" spans="1:5" x14ac:dyDescent="0.3">
      <c r="A19" s="129" t="s">
        <v>104</v>
      </c>
      <c r="B19" s="136">
        <v>0</v>
      </c>
      <c r="C19" s="246"/>
      <c r="D19" s="247"/>
      <c r="E19" s="248"/>
    </row>
    <row r="20" spans="1:5" x14ac:dyDescent="0.3">
      <c r="A20" s="130" t="s">
        <v>105</v>
      </c>
      <c r="B20" s="137">
        <v>400000</v>
      </c>
      <c r="C20" s="246"/>
      <c r="D20" s="247"/>
      <c r="E20" s="248"/>
    </row>
    <row r="21" spans="1:5" x14ac:dyDescent="0.3">
      <c r="A21" s="129" t="s">
        <v>106</v>
      </c>
      <c r="B21" s="136">
        <v>0</v>
      </c>
      <c r="C21" s="246"/>
      <c r="D21" s="247"/>
      <c r="E21" s="248"/>
    </row>
    <row r="22" spans="1:5" x14ac:dyDescent="0.3">
      <c r="A22" s="130" t="s">
        <v>107</v>
      </c>
      <c r="B22" s="137">
        <v>0</v>
      </c>
      <c r="C22" s="246"/>
      <c r="D22" s="247"/>
      <c r="E22" s="248"/>
    </row>
    <row r="23" spans="1:5" x14ac:dyDescent="0.3">
      <c r="A23" s="129" t="s">
        <v>108</v>
      </c>
      <c r="B23" s="159">
        <f>SUM(B19:B22)</f>
        <v>400000</v>
      </c>
      <c r="C23" s="246"/>
      <c r="D23" s="247"/>
      <c r="E23" s="248"/>
    </row>
    <row r="24" spans="1:5" x14ac:dyDescent="0.3">
      <c r="A24" s="130" t="s">
        <v>109</v>
      </c>
      <c r="B24" s="158">
        <f>B18-B23</f>
        <v>-12000</v>
      </c>
      <c r="C24" s="249"/>
      <c r="D24" s="250"/>
      <c r="E24" s="251"/>
    </row>
    <row r="25" spans="1:5" x14ac:dyDescent="0.3">
      <c r="A25" s="138"/>
      <c r="B25" s="139"/>
      <c r="C25" s="131"/>
      <c r="D25" s="131"/>
      <c r="E25" s="131"/>
    </row>
    <row r="26" spans="1:5" x14ac:dyDescent="0.3">
      <c r="A26" s="262" t="s">
        <v>142</v>
      </c>
      <c r="B26" s="263"/>
      <c r="C26" s="263"/>
      <c r="D26" s="263"/>
      <c r="E26" s="264"/>
    </row>
    <row r="27" spans="1:5" x14ac:dyDescent="0.3">
      <c r="A27" s="129" t="s">
        <v>0</v>
      </c>
      <c r="B27" s="140" t="s">
        <v>56</v>
      </c>
      <c r="C27" s="261" t="s">
        <v>97</v>
      </c>
      <c r="D27" s="242"/>
      <c r="E27" s="242"/>
    </row>
    <row r="28" spans="1:5" x14ac:dyDescent="0.3">
      <c r="A28" s="141" t="s">
        <v>110</v>
      </c>
      <c r="B28" s="118" t="s">
        <v>91</v>
      </c>
      <c r="C28" s="243" t="s">
        <v>192</v>
      </c>
      <c r="D28" s="244"/>
      <c r="E28" s="245"/>
    </row>
    <row r="29" spans="1:5" x14ac:dyDescent="0.3">
      <c r="A29" s="142" t="s">
        <v>111</v>
      </c>
      <c r="B29" s="143">
        <v>16666</v>
      </c>
      <c r="C29" s="246"/>
      <c r="D29" s="247"/>
      <c r="E29" s="248"/>
    </row>
    <row r="30" spans="1:5" x14ac:dyDescent="0.3">
      <c r="A30" s="141" t="s">
        <v>112</v>
      </c>
      <c r="B30" s="160">
        <f>IF(OR(B27="CLT",B27="Funcionário Público"),
     IF(ISNUMBER(B29),B29*13,""),
   IF(OR(B27="Autônomo",B27="Empresário"),
     IF(ISNUMBER(B29),B29*12,""),
     IF(B27="Misto","Observação","")
   )
 )</f>
        <v>199992</v>
      </c>
      <c r="C30" s="246"/>
      <c r="D30" s="247"/>
      <c r="E30" s="248"/>
    </row>
    <row r="31" spans="1:5" x14ac:dyDescent="0.3">
      <c r="A31" s="129" t="s">
        <v>113</v>
      </c>
      <c r="B31" s="144">
        <v>15000</v>
      </c>
      <c r="C31" s="246"/>
      <c r="D31" s="247"/>
      <c r="E31" s="248"/>
    </row>
    <row r="32" spans="1:5" x14ac:dyDescent="0.3">
      <c r="A32" s="141" t="s">
        <v>114</v>
      </c>
      <c r="B32" s="160">
        <f>B31*12</f>
        <v>180000</v>
      </c>
      <c r="C32" s="246"/>
      <c r="D32" s="247"/>
      <c r="E32" s="248"/>
    </row>
    <row r="33" spans="1:7" x14ac:dyDescent="0.3">
      <c r="A33" s="129" t="s">
        <v>115</v>
      </c>
      <c r="B33" s="140" t="s">
        <v>6</v>
      </c>
      <c r="C33" s="246"/>
      <c r="D33" s="247"/>
      <c r="E33" s="248"/>
    </row>
    <row r="34" spans="1:7" x14ac:dyDescent="0.3">
      <c r="A34" s="130" t="s">
        <v>145</v>
      </c>
      <c r="B34" s="161">
        <v>90000</v>
      </c>
      <c r="C34" s="246"/>
      <c r="D34" s="247"/>
      <c r="E34" s="248"/>
    </row>
    <row r="35" spans="1:7" x14ac:dyDescent="0.3">
      <c r="A35" s="129" t="s">
        <v>146</v>
      </c>
      <c r="B35" s="162">
        <v>0</v>
      </c>
      <c r="C35" s="246"/>
      <c r="D35" s="247"/>
      <c r="E35" s="248"/>
    </row>
    <row r="36" spans="1:7" x14ac:dyDescent="0.3">
      <c r="A36" s="130" t="s">
        <v>116</v>
      </c>
      <c r="B36" s="146">
        <v>52000</v>
      </c>
      <c r="C36" s="246"/>
      <c r="D36" s="247"/>
      <c r="E36" s="248"/>
      <c r="G36" s="163"/>
    </row>
    <row r="37" spans="1:7" x14ac:dyDescent="0.3">
      <c r="A37" s="129" t="s">
        <v>149</v>
      </c>
      <c r="B37" s="162"/>
      <c r="C37" s="249"/>
      <c r="D37" s="250"/>
      <c r="E37" s="251"/>
    </row>
    <row r="39" spans="1:7" x14ac:dyDescent="0.3">
      <c r="A39" s="258" t="s">
        <v>143</v>
      </c>
      <c r="B39" s="259"/>
      <c r="C39" s="259"/>
      <c r="D39" s="259"/>
      <c r="E39" s="260"/>
    </row>
    <row r="40" spans="1:7" x14ac:dyDescent="0.3">
      <c r="A40" s="129" t="s">
        <v>117</v>
      </c>
      <c r="B40" s="147">
        <f ca="1">D5</f>
        <v>40.098630136986301</v>
      </c>
      <c r="C40" s="265" t="s">
        <v>97</v>
      </c>
      <c r="D40" s="266"/>
      <c r="E40" s="261"/>
    </row>
    <row r="41" spans="1:7" x14ac:dyDescent="0.3">
      <c r="A41" s="130" t="s">
        <v>118</v>
      </c>
      <c r="B41" s="148">
        <v>300000</v>
      </c>
      <c r="C41" s="243"/>
      <c r="D41" s="244"/>
      <c r="E41" s="245"/>
    </row>
    <row r="42" spans="1:7" ht="15.6" customHeight="1" x14ac:dyDescent="0.3">
      <c r="A42" s="129" t="s">
        <v>119</v>
      </c>
      <c r="B42" s="149" t="s">
        <v>147</v>
      </c>
      <c r="C42" s="246"/>
      <c r="D42" s="247"/>
      <c r="E42" s="248"/>
    </row>
    <row r="43" spans="1:7" x14ac:dyDescent="0.3">
      <c r="A43" s="132" t="s">
        <v>120</v>
      </c>
      <c r="B43" s="150">
        <v>5</v>
      </c>
      <c r="C43" s="246"/>
      <c r="D43" s="247"/>
      <c r="E43" s="248"/>
    </row>
    <row r="44" spans="1:7" x14ac:dyDescent="0.3">
      <c r="A44" s="129" t="s">
        <v>121</v>
      </c>
      <c r="B44" s="151">
        <v>30000</v>
      </c>
      <c r="C44" s="246"/>
      <c r="D44" s="247"/>
      <c r="E44" s="248"/>
    </row>
    <row r="45" spans="1:7" x14ac:dyDescent="0.3">
      <c r="A45" s="130" t="s">
        <v>57</v>
      </c>
      <c r="B45" s="152">
        <v>15</v>
      </c>
      <c r="C45" s="246"/>
      <c r="D45" s="247"/>
      <c r="E45" s="248"/>
    </row>
    <row r="46" spans="1:7" x14ac:dyDescent="0.3">
      <c r="A46" s="129" t="s">
        <v>148</v>
      </c>
      <c r="B46" s="151">
        <v>0</v>
      </c>
      <c r="C46" s="246"/>
      <c r="D46" s="247"/>
      <c r="E46" s="248"/>
    </row>
    <row r="47" spans="1:7" x14ac:dyDescent="0.3">
      <c r="A47" s="132" t="s">
        <v>122</v>
      </c>
      <c r="B47" s="164">
        <f>B44*9</f>
        <v>270000</v>
      </c>
      <c r="C47" s="246"/>
      <c r="D47" s="247"/>
      <c r="E47" s="248"/>
    </row>
    <row r="48" spans="1:7" x14ac:dyDescent="0.3">
      <c r="A48" s="129" t="s">
        <v>123</v>
      </c>
      <c r="B48" s="165">
        <f>B47/B30</f>
        <v>1.3500540021600864</v>
      </c>
      <c r="C48" s="246"/>
      <c r="D48" s="247"/>
      <c r="E48" s="248"/>
    </row>
    <row r="49" spans="1:5" x14ac:dyDescent="0.3">
      <c r="A49" s="130" t="s">
        <v>124</v>
      </c>
      <c r="B49" s="153" t="s">
        <v>6</v>
      </c>
      <c r="C49" s="246"/>
      <c r="D49" s="247"/>
      <c r="E49" s="248"/>
    </row>
    <row r="50" spans="1:5" x14ac:dyDescent="0.3">
      <c r="A50" s="129" t="s">
        <v>125</v>
      </c>
      <c r="B50" s="136">
        <v>50000</v>
      </c>
      <c r="C50" s="246"/>
      <c r="D50" s="247"/>
      <c r="E50" s="248"/>
    </row>
    <row r="51" spans="1:5" x14ac:dyDescent="0.3">
      <c r="A51" s="132" t="s">
        <v>126</v>
      </c>
      <c r="B51" s="153" t="s">
        <v>6</v>
      </c>
      <c r="C51" s="246"/>
      <c r="D51" s="247"/>
      <c r="E51" s="248"/>
    </row>
    <row r="52" spans="1:5" x14ac:dyDescent="0.3">
      <c r="A52" s="145" t="s">
        <v>127</v>
      </c>
      <c r="B52" s="154">
        <v>15000</v>
      </c>
      <c r="C52" s="246"/>
      <c r="D52" s="247"/>
      <c r="E52" s="248"/>
    </row>
    <row r="53" spans="1:5" x14ac:dyDescent="0.3">
      <c r="A53" s="130" t="s">
        <v>128</v>
      </c>
      <c r="B53" s="153" t="s">
        <v>5</v>
      </c>
      <c r="C53" s="249"/>
      <c r="D53" s="250"/>
      <c r="E53" s="251"/>
    </row>
    <row r="54" spans="1:5" x14ac:dyDescent="0.3">
      <c r="A54" s="130"/>
      <c r="B54" s="153"/>
      <c r="C54" s="133"/>
      <c r="D54" s="134"/>
      <c r="E54" s="135"/>
    </row>
    <row r="55" spans="1:5" x14ac:dyDescent="0.3">
      <c r="A55" s="241" t="s">
        <v>144</v>
      </c>
      <c r="B55" s="241"/>
      <c r="C55" s="241"/>
      <c r="D55" s="241"/>
      <c r="E55" s="241"/>
    </row>
    <row r="56" spans="1:5" x14ac:dyDescent="0.3">
      <c r="A56" s="145" t="s">
        <v>140</v>
      </c>
      <c r="B56" s="169" t="s">
        <v>198</v>
      </c>
      <c r="C56" s="242" t="s">
        <v>97</v>
      </c>
      <c r="D56" s="242"/>
      <c r="E56" s="242"/>
    </row>
    <row r="57" spans="1:5" x14ac:dyDescent="0.3">
      <c r="A57" s="130" t="s">
        <v>138</v>
      </c>
      <c r="B57" s="172" t="s">
        <v>175</v>
      </c>
      <c r="C57" s="220"/>
      <c r="D57" s="221"/>
      <c r="E57" s="222"/>
    </row>
    <row r="58" spans="1:5" ht="15.6" customHeight="1" x14ac:dyDescent="0.3">
      <c r="A58" s="129" t="s">
        <v>150</v>
      </c>
      <c r="B58" s="166" t="str">
        <f>IFERROR(_xlfn.IFS($B$56="Conservador","Não tolera perdas",$B$56="Moderado","Tolera quedas moderadas (-2% a -5%)",$B$56="Arrojado","Tolera quedas maiores (-5% a -15%)",$B$56="Agressivo","Tolera quedas significativas (&gt; -15%)"),0)</f>
        <v>Não tolera perdas</v>
      </c>
      <c r="C58" s="223"/>
      <c r="D58" s="224"/>
      <c r="E58" s="225"/>
    </row>
    <row r="59" spans="1:5" x14ac:dyDescent="0.3">
      <c r="A59" s="132" t="s">
        <v>98</v>
      </c>
      <c r="B59" s="167" t="str">
        <f>IFERROR(_xlfn.IFS($B$56="Conservador","IPCA+ 4,0%",$B$56="Moderado","IPCA+ 5%",$B$56="Arrojado","IPCA+ 6%",$B$56="Agressivo","IPCA+ 7%"),0)</f>
        <v>IPCA+ 4,0%</v>
      </c>
      <c r="C59" s="223"/>
      <c r="D59" s="224"/>
      <c r="E59" s="225"/>
    </row>
    <row r="60" spans="1:5" x14ac:dyDescent="0.3">
      <c r="A60" s="145" t="s">
        <v>139</v>
      </c>
      <c r="B60" s="166" t="str">
        <f>IFERROR(_xlfn.IFS($B$56="Conservador","1 ano - 3 anos",$B$56="Moderado","3 anos - 5 anos",$B$56="Arrojado","5 anos - 7 anos",$B$56="Agressivo","+ 7 anos "),0)</f>
        <v>1 ano - 3 anos</v>
      </c>
      <c r="C60" s="223"/>
      <c r="D60" s="224"/>
      <c r="E60" s="225"/>
    </row>
    <row r="61" spans="1:5" x14ac:dyDescent="0.3">
      <c r="A61" s="132" t="s">
        <v>99</v>
      </c>
      <c r="B61" s="118" t="s">
        <v>6</v>
      </c>
      <c r="C61" s="226"/>
      <c r="D61" s="227"/>
      <c r="E61" s="228"/>
    </row>
    <row r="63" spans="1:5" s="156" customFormat="1" x14ac:dyDescent="0.3">
      <c r="A63" s="241" t="s">
        <v>151</v>
      </c>
      <c r="B63" s="241"/>
      <c r="C63" s="241"/>
      <c r="D63" s="241"/>
      <c r="E63" s="241"/>
    </row>
    <row r="64" spans="1:5" x14ac:dyDescent="0.3">
      <c r="A64" s="4" t="s">
        <v>76</v>
      </c>
      <c r="B64" s="78" t="s">
        <v>6</v>
      </c>
      <c r="C64" s="79">
        <v>0</v>
      </c>
    </row>
    <row r="65" spans="1:5" x14ac:dyDescent="0.3">
      <c r="A65" s="4" t="s">
        <v>75</v>
      </c>
      <c r="B65" s="78" t="s">
        <v>6</v>
      </c>
      <c r="C65" s="79">
        <v>0</v>
      </c>
    </row>
    <row r="66" spans="1:5" s="156" customFormat="1" x14ac:dyDescent="0.3">
      <c r="A66" s="4" t="s">
        <v>77</v>
      </c>
      <c r="B66" s="78" t="s">
        <v>6</v>
      </c>
      <c r="C66" s="79">
        <v>0</v>
      </c>
      <c r="D66" s="114"/>
      <c r="E66" s="114"/>
    </row>
    <row r="67" spans="1:5" s="156" customFormat="1" x14ac:dyDescent="0.3">
      <c r="A67" s="4" t="s">
        <v>78</v>
      </c>
      <c r="B67" s="78" t="s">
        <v>6</v>
      </c>
      <c r="C67" s="79">
        <v>0</v>
      </c>
      <c r="D67" s="114"/>
      <c r="E67" s="114"/>
    </row>
    <row r="68" spans="1:5" s="156" customFormat="1" x14ac:dyDescent="0.3">
      <c r="A68" s="4" t="s">
        <v>79</v>
      </c>
      <c r="B68" s="78" t="s">
        <v>5</v>
      </c>
      <c r="C68" s="79">
        <v>0</v>
      </c>
      <c r="D68" s="114"/>
      <c r="E68" s="114"/>
    </row>
    <row r="69" spans="1:5" s="156" customFormat="1" x14ac:dyDescent="0.3">
      <c r="A69" s="229" t="s">
        <v>82</v>
      </c>
      <c r="B69" s="230"/>
      <c r="C69" s="231"/>
      <c r="D69" s="114"/>
      <c r="E69" s="114"/>
    </row>
    <row r="70" spans="1:5" s="156" customFormat="1" x14ac:dyDescent="0.3">
      <c r="A70" s="4" t="s">
        <v>83</v>
      </c>
      <c r="B70" s="78" t="s">
        <v>5</v>
      </c>
      <c r="C70" s="1"/>
      <c r="D70" s="114"/>
      <c r="E70" s="114"/>
    </row>
    <row r="71" spans="1:5" s="156" customFormat="1" x14ac:dyDescent="0.3">
      <c r="A71" s="4" t="s">
        <v>81</v>
      </c>
      <c r="B71" s="78">
        <v>0</v>
      </c>
      <c r="C71" s="89"/>
      <c r="D71" s="114"/>
      <c r="E71" s="114"/>
    </row>
    <row r="72" spans="1:5" s="156" customFormat="1" x14ac:dyDescent="0.3">
      <c r="A72" s="4" t="s">
        <v>84</v>
      </c>
      <c r="B72" s="79">
        <v>0</v>
      </c>
      <c r="C72" s="89"/>
      <c r="D72" s="114"/>
      <c r="E72" s="114"/>
    </row>
    <row r="73" spans="1:5" s="156" customFormat="1" x14ac:dyDescent="0.3">
      <c r="A73" s="4" t="s">
        <v>90</v>
      </c>
      <c r="B73" s="93">
        <f xml:space="preserve"> (B72* (1 - (1+0.005)^(-(B71*12))) / 0.005)</f>
        <v>0</v>
      </c>
      <c r="C73" s="1"/>
      <c r="D73" s="114"/>
      <c r="E73" s="114"/>
    </row>
    <row r="74" spans="1:5" s="156" customFormat="1" x14ac:dyDescent="0.3"/>
    <row r="75" spans="1:5" s="156" customFormat="1" x14ac:dyDescent="0.3">
      <c r="A75" s="241" t="s">
        <v>129</v>
      </c>
      <c r="B75" s="241"/>
      <c r="C75" s="241"/>
      <c r="D75" s="241"/>
      <c r="E75" s="241"/>
    </row>
    <row r="76" spans="1:5" x14ac:dyDescent="0.3">
      <c r="A76" s="192" t="s">
        <v>155</v>
      </c>
      <c r="B76" s="187" t="s">
        <v>187</v>
      </c>
      <c r="C76" s="242" t="s">
        <v>97</v>
      </c>
      <c r="D76" s="242"/>
      <c r="E76" s="242"/>
    </row>
    <row r="77" spans="1:5" x14ac:dyDescent="0.3">
      <c r="A77" s="193" t="s">
        <v>131</v>
      </c>
      <c r="B77" s="157" t="s">
        <v>188</v>
      </c>
      <c r="C77" s="232"/>
      <c r="D77" s="233"/>
      <c r="E77" s="234"/>
    </row>
    <row r="78" spans="1:5" x14ac:dyDescent="0.3">
      <c r="A78" s="194" t="s">
        <v>180</v>
      </c>
      <c r="B78" s="187" t="s">
        <v>6</v>
      </c>
      <c r="C78" s="235"/>
      <c r="D78" s="236"/>
      <c r="E78" s="237"/>
    </row>
    <row r="79" spans="1:5" x14ac:dyDescent="0.3">
      <c r="A79" s="193" t="s">
        <v>176</v>
      </c>
      <c r="B79" s="150">
        <v>1</v>
      </c>
      <c r="C79" s="235"/>
      <c r="D79" s="236"/>
      <c r="E79" s="237"/>
    </row>
    <row r="80" spans="1:5" x14ac:dyDescent="0.3">
      <c r="A80" s="192" t="s">
        <v>161</v>
      </c>
      <c r="B80" s="188" t="s">
        <v>6</v>
      </c>
      <c r="C80" s="235"/>
      <c r="D80" s="236"/>
      <c r="E80" s="237"/>
    </row>
    <row r="81" spans="1:5" x14ac:dyDescent="0.3">
      <c r="A81" s="195" t="s">
        <v>178</v>
      </c>
      <c r="B81" s="186">
        <v>0</v>
      </c>
      <c r="C81" s="235"/>
      <c r="D81" s="236"/>
      <c r="E81" s="237"/>
    </row>
    <row r="82" spans="1:5" x14ac:dyDescent="0.3">
      <c r="A82" s="192" t="s">
        <v>181</v>
      </c>
      <c r="B82" s="189">
        <v>600000</v>
      </c>
      <c r="C82" s="235"/>
      <c r="D82" s="236"/>
      <c r="E82" s="237"/>
    </row>
    <row r="83" spans="1:5" x14ac:dyDescent="0.3">
      <c r="A83" s="195" t="s">
        <v>164</v>
      </c>
      <c r="B83" s="173">
        <v>0</v>
      </c>
      <c r="C83" s="235"/>
      <c r="D83" s="236"/>
      <c r="E83" s="237"/>
    </row>
    <row r="84" spans="1:5" x14ac:dyDescent="0.3">
      <c r="A84" s="192" t="s">
        <v>177</v>
      </c>
      <c r="B84" s="190">
        <f>B24</f>
        <v>-12000</v>
      </c>
      <c r="C84" s="235"/>
      <c r="D84" s="236"/>
      <c r="E84" s="237"/>
    </row>
    <row r="85" spans="1:5" x14ac:dyDescent="0.3">
      <c r="A85" s="195" t="s">
        <v>179</v>
      </c>
      <c r="B85" s="173">
        <f>B23</f>
        <v>400000</v>
      </c>
      <c r="C85" s="235"/>
      <c r="D85" s="236"/>
      <c r="E85" s="237"/>
    </row>
    <row r="86" spans="1:5" x14ac:dyDescent="0.3">
      <c r="A86" s="194" t="s">
        <v>132</v>
      </c>
      <c r="B86" s="149" t="s">
        <v>5</v>
      </c>
      <c r="C86" s="235"/>
      <c r="D86" s="236"/>
      <c r="E86" s="237"/>
    </row>
    <row r="87" spans="1:5" x14ac:dyDescent="0.3">
      <c r="A87" s="193" t="s">
        <v>133</v>
      </c>
      <c r="B87" s="150" t="s">
        <v>5</v>
      </c>
      <c r="C87" s="235"/>
      <c r="D87" s="236"/>
      <c r="E87" s="237"/>
    </row>
    <row r="88" spans="1:5" x14ac:dyDescent="0.3">
      <c r="A88" s="194" t="s">
        <v>134</v>
      </c>
      <c r="B88" s="149" t="s">
        <v>5</v>
      </c>
      <c r="C88" s="235"/>
      <c r="D88" s="236"/>
      <c r="E88" s="237"/>
    </row>
    <row r="89" spans="1:5" x14ac:dyDescent="0.3">
      <c r="A89" s="193" t="s">
        <v>135</v>
      </c>
      <c r="B89" s="150" t="s">
        <v>5</v>
      </c>
      <c r="C89" s="235"/>
      <c r="D89" s="236"/>
      <c r="E89" s="237"/>
    </row>
    <row r="90" spans="1:5" x14ac:dyDescent="0.3">
      <c r="A90" s="194" t="s">
        <v>136</v>
      </c>
      <c r="B90" s="149" t="s">
        <v>5</v>
      </c>
      <c r="C90" s="235"/>
      <c r="D90" s="236"/>
      <c r="E90" s="237"/>
    </row>
    <row r="91" spans="1:5" x14ac:dyDescent="0.3">
      <c r="A91" s="193" t="s">
        <v>130</v>
      </c>
      <c r="B91" s="191">
        <f>SUCESSÓRIO!B22</f>
        <v>-12000</v>
      </c>
      <c r="C91" s="235"/>
      <c r="D91" s="236"/>
      <c r="E91" s="237"/>
    </row>
    <row r="92" spans="1:5" x14ac:dyDescent="0.3">
      <c r="A92" s="194" t="s">
        <v>137</v>
      </c>
      <c r="B92" s="155">
        <f>SUM(B81:B82)</f>
        <v>600000</v>
      </c>
      <c r="C92" s="238"/>
      <c r="D92" s="239"/>
      <c r="E92" s="240"/>
    </row>
  </sheetData>
  <mergeCells count="20">
    <mergeCell ref="C28:E37"/>
    <mergeCell ref="A1:E1"/>
    <mergeCell ref="A3:E3"/>
    <mergeCell ref="A7:E7"/>
    <mergeCell ref="C56:E56"/>
    <mergeCell ref="A14:E14"/>
    <mergeCell ref="C15:E15"/>
    <mergeCell ref="C16:E24"/>
    <mergeCell ref="A26:E26"/>
    <mergeCell ref="C27:E27"/>
    <mergeCell ref="A39:E39"/>
    <mergeCell ref="C40:E40"/>
    <mergeCell ref="C41:E53"/>
    <mergeCell ref="C57:E61"/>
    <mergeCell ref="A69:C69"/>
    <mergeCell ref="C77:E92"/>
    <mergeCell ref="A55:E55"/>
    <mergeCell ref="A63:E63"/>
    <mergeCell ref="A75:E75"/>
    <mergeCell ref="C76:E76"/>
  </mergeCells>
  <conditionalFormatting sqref="B37">
    <cfRule type="expression" dxfId="19" priority="5">
      <formula>AND($B$27&lt;&gt;"",NOT(OR($B$27="CLT",$B$27="Funcionário Público")))</formula>
    </cfRule>
    <cfRule type="expression" dxfId="18" priority="6">
      <formula>OR($B$27="CLT",$B$27="Funcionário Público")</formula>
    </cfRule>
  </conditionalFormatting>
  <conditionalFormatting sqref="B61">
    <cfRule type="containsText" dxfId="17" priority="7" operator="containsText" text="Não">
      <formula>NOT(ISERROR(SEARCH("Não",B61)))</formula>
    </cfRule>
    <cfRule type="containsText" dxfId="16" priority="8" operator="containsText" text="Sim">
      <formula>NOT(ISERROR(SEARCH("Sim",B61)))</formula>
    </cfRule>
  </conditionalFormatting>
  <conditionalFormatting sqref="B64:B68">
    <cfRule type="containsText" dxfId="15" priority="3" operator="containsText" text="Sim">
      <formula>NOT(ISERROR(SEARCH("Sim",B64)))</formula>
    </cfRule>
    <cfRule type="containsText" dxfId="14" priority="4" operator="containsText" text="Não">
      <formula>NOT(ISERROR(SEARCH("Não",B64)))</formula>
    </cfRule>
  </conditionalFormatting>
  <conditionalFormatting sqref="B70">
    <cfRule type="containsText" dxfId="13" priority="1" operator="containsText" text="Sim">
      <formula>NOT(ISERROR(SEARCH("Sim",B70)))</formula>
    </cfRule>
    <cfRule type="containsText" dxfId="12" priority="2" operator="containsText" text="Não">
      <formula>NOT(ISERROR(SEARCH("Não",B70)))</formula>
    </cfRule>
  </conditionalFormatting>
  <dataValidations count="11">
    <dataValidation type="list" allowBlank="1" showInputMessage="1" showErrorMessage="1" sqref="B77" xr:uid="{65B9FCC9-2742-4210-83DC-FC8887367248}">
      <formula1>"Comunhão Parcial,Comunhão Universal,Separação Total,Outros,Não Aplicável"</formula1>
    </dataValidation>
    <dataValidation type="list" allowBlank="1" showInputMessage="1" showErrorMessage="1" sqref="B42" xr:uid="{02AD82EC-2053-429F-A370-BD4CBDAF4422}">
      <formula1>"Fundação,Acúmulo de Patrimônio,Preservação de Patrimônio,Usufruto"</formula1>
    </dataValidation>
    <dataValidation type="list" allowBlank="1" showInputMessage="1" showErrorMessage="1" sqref="B27" xr:uid="{1028F891-B2B7-48B0-8039-F4E4247CA1E4}">
      <formula1>"CLT,Autônomo,Empresário,Funcionário Público,Expatriado,Misto"</formula1>
    </dataValidation>
    <dataValidation type="list" allowBlank="1" showInputMessage="1" showErrorMessage="1" sqref="B28" xr:uid="{E6C9F838-69CB-44EA-BFCD-030E5FB7AFB3}">
      <formula1>"Completa,Simplificada"</formula1>
    </dataValidation>
    <dataValidation type="list" allowBlank="1" showInputMessage="1" showErrorMessage="1" sqref="B33 B51 B49 B53:B54 B78 B86:B90 B80" xr:uid="{9B73E301-1C20-4C4B-91BF-BD22B36D464D}">
      <formula1>"Sim,Não"</formula1>
    </dataValidation>
    <dataValidation type="list" allowBlank="1" showInputMessage="1" showErrorMessage="1" sqref="B56" xr:uid="{A5ECF6CC-D51A-4C75-BC2C-1CFFBDC96ADD}">
      <formula1>"Conservador,Moderado,Arrojado,Agressivo"</formula1>
    </dataValidation>
    <dataValidation type="list" allowBlank="1" showInputMessage="1" showErrorMessage="1" sqref="B57" xr:uid="{B22FD089-4404-41E5-881F-FF1CC3448099}">
      <mc:AlternateContent xmlns:x12ac="http://schemas.microsoft.com/office/spreadsheetml/2011/1/ac" xmlns:mc="http://schemas.openxmlformats.org/markup-compatibility/2006">
        <mc:Choice Requires="x12ac">
          <x12ac:list>Costuma resgatar,"Não resgata, nem aporta",Aporta sem recorrência,Aporta com recorrência</x12ac:list>
        </mc:Choice>
        <mc:Fallback>
          <formula1>"Costuma resgatar,Não resgata, nem aporta,Aporta sem recorrência,Aporta com recorrência"</formula1>
        </mc:Fallback>
      </mc:AlternateContent>
    </dataValidation>
    <dataValidation type="list" allowBlank="1" showInputMessage="1" showErrorMessage="1" sqref="B64:B68 B70" xr:uid="{E32B7B30-B7C2-4102-9D81-27A2BA7BF423}">
      <formula1>"Sim, Não"</formula1>
    </dataValidation>
    <dataValidation type="list" allowBlank="1" showInputMessage="1" showErrorMessage="1" sqref="B61" xr:uid="{9B095664-2DC4-4BCF-A8B1-0A3D7AE533AD}">
      <formula1>"Sim,Não,Preencher"</formula1>
    </dataValidation>
    <dataValidation type="list" allowBlank="1" showInputMessage="1" showErrorMessage="1" sqref="B76" xr:uid="{117B311B-A2F0-4505-ABF3-3B549899BB76}">
      <formula1>"Solteiro,Casado,União estável,Divorciado,Viúvo"</formula1>
    </dataValidation>
    <dataValidation type="list" allowBlank="1" showInputMessage="1" showErrorMessage="1" error="Só é permitido escolher Sim/Não quando o regime é CLT ou Funcionário Público" sqref="B37" xr:uid="{65AF5BE0-776A-414B-BBFB-5907B62AED12}">
      <formula1>IF(OR($B$27="CLT",$B$27="Funcionário Público"),$X$1:$X$2,$X$3:$X$3)</formula1>
    </dataValidation>
  </dataValidations>
  <pageMargins left="0.31496062992125984" right="0.31496062992125984" top="0.39370078740157483" bottom="0.39370078740157483" header="0" footer="0"/>
  <pageSetup paperSize="9" orientation="landscape" r:id="rId1"/>
  <ignoredErrors>
    <ignoredError sqref="B92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C39D-EF14-CF40-BB10-2588583D18D2}">
  <sheetPr codeName="Planilha3"/>
  <dimension ref="A1:XFC60"/>
  <sheetViews>
    <sheetView topLeftCell="A8" zoomScale="85" zoomScaleNormal="85" workbookViewId="0">
      <selection activeCell="C14" sqref="C14"/>
    </sheetView>
  </sheetViews>
  <sheetFormatPr defaultColWidth="0" defaultRowHeight="15" customHeight="1" zeroHeight="1" outlineLevelCol="1" x14ac:dyDescent="0.3"/>
  <cols>
    <col min="1" max="2" width="5" style="1" customWidth="1"/>
    <col min="3" max="3" width="34.796875" style="1" customWidth="1"/>
    <col min="4" max="4" width="2.5" style="1" customWidth="1"/>
    <col min="5" max="5" width="18.796875" style="1" hidden="1" outlineLevel="1"/>
    <col min="6" max="6" width="6.5" style="1" customWidth="1" collapsed="1"/>
    <col min="7" max="7" width="22.5" style="1" customWidth="1"/>
    <col min="8" max="8" width="9.296875" style="1" bestFit="1" customWidth="1"/>
    <col min="9" max="9" width="26.5" style="1" bestFit="1" customWidth="1"/>
    <col min="10" max="10" width="6.5" style="1" customWidth="1"/>
    <col min="11" max="11" width="26.296875" style="1" bestFit="1" customWidth="1"/>
    <col min="12" max="12" width="8.796875" style="1" customWidth="1"/>
    <col min="13" max="13" width="12" style="1" bestFit="1" customWidth="1"/>
    <col min="14" max="14" width="22.19921875" style="1" customWidth="1"/>
    <col min="15" max="15" width="4.5" style="1" customWidth="1"/>
    <col min="16" max="16" width="40.796875" style="1" customWidth="1"/>
    <col min="17" max="16383" width="9.19921875" style="1" hidden="1"/>
    <col min="16384" max="16384" width="29.8984375" style="1" customWidth="1"/>
  </cols>
  <sheetData>
    <row r="1" spans="1:19" ht="80.25" customHeight="1" x14ac:dyDescent="0.3">
      <c r="A1" s="268" t="s">
        <v>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31"/>
      <c r="R1" s="31"/>
      <c r="S1" s="31"/>
    </row>
    <row r="2" spans="1:19" s="48" customFormat="1" ht="32.25" customHeight="1" x14ac:dyDescent="0.6">
      <c r="C2" s="61"/>
    </row>
    <row r="3" spans="1:19" ht="20.25" customHeight="1" thickBot="1" x14ac:dyDescent="0.45">
      <c r="B3" s="269" t="s">
        <v>11</v>
      </c>
      <c r="C3" s="269"/>
      <c r="D3" s="6"/>
      <c r="E3" s="6"/>
      <c r="F3" s="14"/>
      <c r="G3" s="14"/>
      <c r="N3" s="7" t="s">
        <v>12</v>
      </c>
    </row>
    <row r="4" spans="1:19" s="15" customFormat="1" ht="25.5" customHeight="1" x14ac:dyDescent="0.6">
      <c r="B4" s="16">
        <f>'Visão 360°'!A5</f>
        <v>0</v>
      </c>
      <c r="C4" s="16"/>
      <c r="D4" s="61"/>
      <c r="E4" s="16"/>
      <c r="F4" s="16"/>
      <c r="M4" s="17"/>
      <c r="N4" s="18">
        <f ca="1">TODAY()</f>
        <v>46092</v>
      </c>
      <c r="O4" s="19"/>
    </row>
    <row r="5" spans="1:19" ht="18.600000000000001" thickBot="1" x14ac:dyDescent="0.4">
      <c r="B5" s="270" t="s">
        <v>13</v>
      </c>
      <c r="C5" s="270"/>
      <c r="D5" s="20"/>
      <c r="E5" s="20"/>
      <c r="F5" s="20"/>
      <c r="G5" s="20"/>
    </row>
    <row r="6" spans="1:19" ht="5.25" customHeight="1" x14ac:dyDescent="0.3"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19" s="24" customFormat="1" ht="15.6" x14ac:dyDescent="0.3">
      <c r="B7" s="25"/>
      <c r="C7" s="8" t="s">
        <v>14</v>
      </c>
      <c r="D7" s="1"/>
      <c r="E7" s="9"/>
      <c r="F7" s="1"/>
      <c r="G7" s="8" t="s">
        <v>15</v>
      </c>
      <c r="I7" s="8" t="s">
        <v>16</v>
      </c>
      <c r="K7" s="8" t="s">
        <v>17</v>
      </c>
      <c r="N7" s="1"/>
      <c r="O7" s="26"/>
    </row>
    <row r="8" spans="1:19" s="24" customFormat="1" ht="38.25" customHeight="1" x14ac:dyDescent="0.3">
      <c r="B8" s="27"/>
      <c r="C8" s="59" t="s">
        <v>191</v>
      </c>
      <c r="D8" s="1"/>
      <c r="E8" s="28"/>
      <c r="F8" s="1"/>
      <c r="G8" s="60">
        <f>(1+G11)*(1+C17)-1</f>
        <v>0.11300000000000021</v>
      </c>
      <c r="H8" s="1"/>
      <c r="I8" s="51">
        <f ca="1">IFERROR(-FV('Base PFi'!C3,M17*12,$C$14,(IF($E$11=0,$C$11,$E$11)),),"")</f>
        <v>3032664.5584941306</v>
      </c>
      <c r="J8" s="1"/>
      <c r="K8" s="29">
        <f ca="1">IFERROR(I8-C20,"")</f>
        <v>844664.55849413062</v>
      </c>
      <c r="N8" s="1"/>
      <c r="O8" s="26"/>
    </row>
    <row r="9" spans="1:19" s="24" customFormat="1" ht="6.75" customHeight="1" x14ac:dyDescent="0.3">
      <c r="B9" s="25"/>
      <c r="C9" s="1"/>
      <c r="D9" s="1"/>
      <c r="E9" s="1"/>
      <c r="F9" s="1"/>
      <c r="G9" s="30"/>
      <c r="N9" s="1"/>
      <c r="O9" s="26"/>
    </row>
    <row r="10" spans="1:19" s="24" customFormat="1" ht="17.25" customHeight="1" x14ac:dyDescent="0.3">
      <c r="B10" s="25"/>
      <c r="C10" s="8" t="s">
        <v>18</v>
      </c>
      <c r="E10" s="8"/>
      <c r="G10" s="8" t="s">
        <v>19</v>
      </c>
      <c r="H10" s="31"/>
      <c r="I10" s="8" t="s">
        <v>20</v>
      </c>
      <c r="J10" s="31"/>
      <c r="K10" s="8" t="s">
        <v>21</v>
      </c>
      <c r="M10" s="267" t="s">
        <v>22</v>
      </c>
      <c r="N10" s="267"/>
      <c r="O10" s="26"/>
    </row>
    <row r="11" spans="1:19" s="24" customFormat="1" ht="38.25" customHeight="1" x14ac:dyDescent="0.4">
      <c r="B11" s="27"/>
      <c r="C11" s="219">
        <f>'Visão 360°'!B15</f>
        <v>388000</v>
      </c>
      <c r="D11" s="32"/>
      <c r="E11" s="10"/>
      <c r="G11" s="11" cm="1">
        <f t="array" ref="G11">_xlfn.IFS(C8="Conservador",4%,C8="Moderado",5%,C8="Arrojado",6%,C8="Agressivo",8%)</f>
        <v>0.05</v>
      </c>
      <c r="H11" s="33"/>
      <c r="I11" s="13">
        <f ca="1">IFERROR(-FV('Base PFi'!C4,M17*12,$C$14,(IF($E$11=0,$C$11,$E$11)),),"")</f>
        <v>2529609.3837177446</v>
      </c>
      <c r="J11" s="33"/>
      <c r="K11" s="29">
        <f ca="1">IFERROR(I11-C20,"")</f>
        <v>341609.38371774461</v>
      </c>
      <c r="M11" s="218">
        <f ca="1">'Visão 360°'!D5</f>
        <v>40.098630136986301</v>
      </c>
      <c r="N11" s="12" t="s">
        <v>23</v>
      </c>
      <c r="O11" s="26"/>
    </row>
    <row r="12" spans="1:19" s="24" customFormat="1" ht="11.25" customHeight="1" x14ac:dyDescent="0.3">
      <c r="B12" s="25"/>
      <c r="O12" s="26"/>
    </row>
    <row r="13" spans="1:19" s="34" customFormat="1" ht="17.25" customHeight="1" x14ac:dyDescent="0.3">
      <c r="B13" s="35"/>
      <c r="C13" s="9" t="s">
        <v>55</v>
      </c>
      <c r="M13" s="267" t="s">
        <v>24</v>
      </c>
      <c r="N13" s="267"/>
      <c r="O13" s="36"/>
    </row>
    <row r="14" spans="1:19" s="24" customFormat="1" ht="38.25" customHeight="1" x14ac:dyDescent="0.3">
      <c r="B14" s="27"/>
      <c r="C14" s="50">
        <f>'Visão 360°'!B44</f>
        <v>30000</v>
      </c>
      <c r="G14" s="37"/>
      <c r="M14" s="218">
        <f ca="1">M11+'Visão 360°'!B43</f>
        <v>45.098630136986301</v>
      </c>
      <c r="N14" s="12" t="s">
        <v>23</v>
      </c>
      <c r="O14" s="26"/>
    </row>
    <row r="15" spans="1:19" s="24" customFormat="1" ht="11.25" customHeight="1" x14ac:dyDescent="0.3">
      <c r="B15" s="25"/>
      <c r="H15" s="1"/>
      <c r="I15" s="1"/>
      <c r="J15" s="1"/>
      <c r="K15" s="1"/>
      <c r="O15" s="26"/>
    </row>
    <row r="16" spans="1:19" s="34" customFormat="1" ht="17.25" customHeight="1" x14ac:dyDescent="0.3">
      <c r="B16" s="35"/>
      <c r="C16" s="9" t="s">
        <v>35</v>
      </c>
      <c r="M16" s="267" t="s">
        <v>25</v>
      </c>
      <c r="N16" s="267"/>
      <c r="O16" s="36"/>
    </row>
    <row r="17" spans="2:15" s="24" customFormat="1" ht="31.95" customHeight="1" x14ac:dyDescent="0.3">
      <c r="B17" s="27"/>
      <c r="C17" s="71">
        <v>0.06</v>
      </c>
      <c r="G17" s="37"/>
      <c r="M17" s="38">
        <f ca="1">IFERROR(IF((M14-M11)&lt;0,"",(M14-M11)),"")</f>
        <v>5</v>
      </c>
      <c r="N17" s="39" t="s">
        <v>23</v>
      </c>
      <c r="O17" s="26"/>
    </row>
    <row r="18" spans="2:15" s="24" customFormat="1" ht="15.6" x14ac:dyDescent="0.3">
      <c r="B18" s="25"/>
      <c r="H18" s="1"/>
      <c r="I18" s="1"/>
      <c r="J18" s="1"/>
      <c r="K18" s="1"/>
      <c r="O18" s="26"/>
    </row>
    <row r="19" spans="2:15" s="34" customFormat="1" ht="17.25" customHeight="1" x14ac:dyDescent="0.3">
      <c r="B19" s="35"/>
      <c r="C19" s="9" t="s">
        <v>26</v>
      </c>
      <c r="F19" s="31"/>
      <c r="M19" s="267"/>
      <c r="N19" s="267"/>
      <c r="O19" s="36"/>
    </row>
    <row r="20" spans="2:15" s="24" customFormat="1" ht="38.25" customHeight="1" x14ac:dyDescent="0.3">
      <c r="B20" s="27"/>
      <c r="C20" s="13">
        <f ca="1">IFERROR(((C14*12)*M17)+(IF($E$11=0,$C$11,$E$11)),"")</f>
        <v>2188000</v>
      </c>
      <c r="F20" s="40"/>
      <c r="O20" s="26"/>
    </row>
    <row r="21" spans="2:15" s="24" customFormat="1" ht="13.5" customHeight="1" thickBot="1" x14ac:dyDescent="0.35">
      <c r="B21" s="41"/>
      <c r="C21" s="42"/>
      <c r="D21" s="42"/>
      <c r="E21" s="42"/>
      <c r="F21" s="42"/>
      <c r="G21" s="42"/>
      <c r="H21" s="14"/>
      <c r="I21" s="14"/>
      <c r="J21" s="14"/>
      <c r="K21" s="14"/>
      <c r="L21" s="42"/>
      <c r="M21" s="42"/>
      <c r="N21" s="42"/>
      <c r="O21" s="43"/>
    </row>
    <row r="22" spans="2:15" s="34" customFormat="1" ht="18" customHeight="1" x14ac:dyDescent="0.3">
      <c r="F22" s="1"/>
    </row>
    <row r="23" spans="2:15" s="24" customFormat="1" ht="18.600000000000001" thickBot="1" x14ac:dyDescent="0.35">
      <c r="B23" s="44" t="s">
        <v>27</v>
      </c>
      <c r="C23" s="44"/>
      <c r="D23" s="44"/>
      <c r="E23" s="44"/>
      <c r="F23" s="44"/>
      <c r="G23" s="37"/>
      <c r="M23" s="49"/>
    </row>
    <row r="24" spans="2:15" s="24" customFormat="1" ht="29.25" customHeight="1" x14ac:dyDescent="0.3">
      <c r="B24" s="21"/>
      <c r="C24" s="45"/>
      <c r="D24" s="45"/>
      <c r="E24" s="45"/>
      <c r="F24" s="22"/>
      <c r="G24" s="45"/>
      <c r="H24" s="45"/>
      <c r="I24" s="45"/>
      <c r="J24" s="45"/>
      <c r="K24" s="45"/>
      <c r="L24" s="45"/>
      <c r="M24" s="45"/>
      <c r="N24" s="45"/>
      <c r="O24" s="46"/>
    </row>
    <row r="25" spans="2:15" s="24" customFormat="1" ht="18.75" customHeight="1" x14ac:dyDescent="0.3">
      <c r="B25" s="25"/>
      <c r="C25" s="9" t="s">
        <v>28</v>
      </c>
      <c r="F25" s="1"/>
      <c r="H25" s="1"/>
      <c r="I25" s="1"/>
      <c r="J25" s="1"/>
      <c r="K25" s="1"/>
      <c r="O25" s="26"/>
    </row>
    <row r="26" spans="2:15" s="24" customFormat="1" ht="37.5" customHeight="1" x14ac:dyDescent="0.3">
      <c r="B26" s="27"/>
      <c r="C26" s="11">
        <v>0.04</v>
      </c>
      <c r="F26" s="1"/>
      <c r="H26" s="1"/>
      <c r="I26" s="1"/>
      <c r="J26" s="1"/>
      <c r="K26" s="1"/>
      <c r="O26" s="26"/>
    </row>
    <row r="27" spans="2:15" s="24" customFormat="1" ht="6.75" customHeight="1" x14ac:dyDescent="0.3">
      <c r="B27" s="25"/>
      <c r="F27" s="1"/>
      <c r="H27" s="1"/>
      <c r="I27" s="1"/>
      <c r="J27" s="1"/>
      <c r="K27" s="1"/>
      <c r="O27" s="26"/>
    </row>
    <row r="28" spans="2:15" s="24" customFormat="1" ht="18.75" customHeight="1" x14ac:dyDescent="0.3">
      <c r="B28" s="25"/>
      <c r="C28" s="9" t="s">
        <v>29</v>
      </c>
      <c r="F28" s="1"/>
      <c r="H28" s="1"/>
      <c r="I28" s="1"/>
      <c r="J28" s="1"/>
      <c r="K28" s="1"/>
      <c r="O28" s="26"/>
    </row>
    <row r="29" spans="2:15" s="24" customFormat="1" ht="37.950000000000003" customHeight="1" x14ac:dyDescent="0.3">
      <c r="B29" s="27"/>
      <c r="C29" s="13">
        <f ca="1">C26*I11/12</f>
        <v>8432.0312790591488</v>
      </c>
      <c r="F29" s="1"/>
      <c r="H29" s="1"/>
      <c r="I29" s="1"/>
      <c r="J29" s="1"/>
      <c r="K29" s="1"/>
      <c r="O29" s="26"/>
    </row>
    <row r="30" spans="2:15" s="24" customFormat="1" ht="6.75" customHeight="1" x14ac:dyDescent="0.3">
      <c r="B30" s="25"/>
      <c r="F30" s="1"/>
      <c r="H30" s="1"/>
      <c r="I30" s="1"/>
      <c r="J30" s="1"/>
      <c r="K30" s="1"/>
      <c r="O30" s="26"/>
    </row>
    <row r="31" spans="2:15" s="24" customFormat="1" ht="18.75" customHeight="1" x14ac:dyDescent="0.3">
      <c r="B31" s="25"/>
      <c r="C31" s="9" t="s">
        <v>30</v>
      </c>
      <c r="F31" s="1"/>
      <c r="H31" s="1"/>
      <c r="I31" s="1"/>
      <c r="J31" s="1"/>
      <c r="K31" s="1"/>
      <c r="O31" s="26"/>
    </row>
    <row r="32" spans="2:15" s="24" customFormat="1" ht="28.5" customHeight="1" x14ac:dyDescent="0.3">
      <c r="B32" s="27"/>
      <c r="C32" s="52">
        <f>'Visão 360°'!B52</f>
        <v>15000</v>
      </c>
      <c r="F32" s="1"/>
      <c r="H32" s="1"/>
      <c r="I32" s="1"/>
      <c r="J32" s="1"/>
      <c r="K32" s="1"/>
      <c r="O32" s="26"/>
    </row>
    <row r="33" spans="2:15" s="24" customFormat="1" ht="6.75" customHeight="1" x14ac:dyDescent="0.3">
      <c r="B33" s="25"/>
      <c r="F33" s="1"/>
      <c r="H33" s="1"/>
      <c r="I33" s="1"/>
      <c r="J33" s="1"/>
      <c r="K33" s="1"/>
      <c r="O33" s="26"/>
    </row>
    <row r="34" spans="2:15" s="24" customFormat="1" ht="18.75" customHeight="1" x14ac:dyDescent="0.3">
      <c r="B34" s="25"/>
      <c r="C34" s="9" t="s">
        <v>31</v>
      </c>
      <c r="F34" s="1"/>
      <c r="H34" s="1"/>
      <c r="I34" s="1"/>
      <c r="J34" s="1"/>
      <c r="K34" s="1"/>
      <c r="O34" s="26"/>
    </row>
    <row r="35" spans="2:15" s="24" customFormat="1" ht="33" customHeight="1" x14ac:dyDescent="0.3">
      <c r="B35" s="27"/>
      <c r="C35" s="53">
        <f ca="1">C32+C29</f>
        <v>23432.031279059149</v>
      </c>
      <c r="F35" s="1"/>
      <c r="H35" s="1"/>
      <c r="I35" s="1"/>
      <c r="J35" s="1"/>
      <c r="K35" s="1"/>
      <c r="O35" s="26"/>
    </row>
    <row r="36" spans="2:15" s="24" customFormat="1" ht="6.75" customHeight="1" x14ac:dyDescent="0.3">
      <c r="B36" s="25"/>
      <c r="F36" s="1"/>
      <c r="H36" s="1"/>
      <c r="I36" s="1"/>
      <c r="J36" s="1"/>
      <c r="K36" s="1"/>
      <c r="O36" s="26"/>
    </row>
    <row r="37" spans="2:15" s="24" customFormat="1" ht="18.75" customHeight="1" x14ac:dyDescent="0.3">
      <c r="B37" s="25"/>
      <c r="C37" s="9" t="s">
        <v>32</v>
      </c>
      <c r="F37" s="1"/>
      <c r="H37" s="1"/>
      <c r="I37" s="1"/>
      <c r="J37" s="1"/>
      <c r="K37" s="1"/>
      <c r="O37" s="26"/>
    </row>
    <row r="38" spans="2:15" s="24" customFormat="1" ht="33" customHeight="1" x14ac:dyDescent="0.3">
      <c r="B38" s="27"/>
      <c r="C38" s="52">
        <f>'Visão 360°'!B50</f>
        <v>50000</v>
      </c>
      <c r="F38" s="1"/>
      <c r="H38" s="1"/>
      <c r="I38" s="1"/>
      <c r="J38" s="1"/>
      <c r="K38" s="1"/>
      <c r="O38" s="26"/>
    </row>
    <row r="39" spans="2:15" s="24" customFormat="1" ht="6.75" customHeight="1" x14ac:dyDescent="0.3">
      <c r="B39" s="25"/>
      <c r="F39" s="1"/>
      <c r="G39" s="37"/>
      <c r="O39" s="26"/>
    </row>
    <row r="40" spans="2:15" s="24" customFormat="1" ht="18.75" customHeight="1" x14ac:dyDescent="0.3">
      <c r="B40" s="25"/>
      <c r="C40" s="9" t="s">
        <v>33</v>
      </c>
      <c r="F40" s="1"/>
      <c r="H40" s="1"/>
      <c r="I40" s="1"/>
      <c r="J40" s="1"/>
      <c r="K40" s="1"/>
      <c r="O40" s="26"/>
    </row>
    <row r="41" spans="2:15" s="24" customFormat="1" ht="37.5" customHeight="1" x14ac:dyDescent="0.3">
      <c r="B41" s="27"/>
      <c r="C41" s="47">
        <f ca="1">C35-C38</f>
        <v>-26567.968720940851</v>
      </c>
      <c r="F41" s="1"/>
      <c r="G41" s="37"/>
      <c r="O41" s="26"/>
    </row>
    <row r="42" spans="2:15" s="24" customFormat="1" ht="8.25" customHeight="1" x14ac:dyDescent="0.3">
      <c r="B42" s="25"/>
      <c r="F42" s="1"/>
      <c r="H42" s="1"/>
      <c r="I42" s="1"/>
      <c r="J42" s="1"/>
      <c r="K42" s="1"/>
      <c r="O42" s="26"/>
    </row>
    <row r="43" spans="2:15" s="24" customFormat="1" ht="6" customHeight="1" thickBot="1" x14ac:dyDescent="0.35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3"/>
    </row>
    <row r="44" spans="2:15" s="24" customFormat="1" ht="18.75" customHeight="1" x14ac:dyDescent="0.3"/>
    <row r="45" spans="2:15" ht="15.6" x14ac:dyDescent="0.3"/>
    <row r="46" spans="2:15" ht="15.6" x14ac:dyDescent="0.3"/>
    <row r="47" spans="2:15" ht="15.6" x14ac:dyDescent="0.3"/>
    <row r="48" spans="2:15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</sheetData>
  <mergeCells count="7">
    <mergeCell ref="M19:N19"/>
    <mergeCell ref="A1:P1"/>
    <mergeCell ref="B3:C3"/>
    <mergeCell ref="B5:C5"/>
    <mergeCell ref="M10:N10"/>
    <mergeCell ref="M13:N13"/>
    <mergeCell ref="M16:N16"/>
  </mergeCells>
  <conditionalFormatting sqref="C7:C8">
    <cfRule type="duplicateValues" dxfId="11" priority="3"/>
  </conditionalFormatting>
  <conditionalFormatting sqref="C41">
    <cfRule type="cellIs" dxfId="10" priority="1" operator="greaterThan">
      <formula>0</formula>
    </cfRule>
    <cfRule type="cellIs" dxfId="9" priority="2" operator="lessThan">
      <formula>0</formula>
    </cfRule>
  </conditionalFormatting>
  <dataValidations count="1">
    <dataValidation type="list" allowBlank="1" showInputMessage="1" showErrorMessage="1" sqref="C8" xr:uid="{965D9E09-7D98-7044-BD1C-46CAE1D8E6A3}">
      <formula1>"Conservador,Moderado,Arrojado,Agressivo"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2D21-635F-8340-BDD7-AF4D56CCDC62}">
  <sheetPr codeName="Planilha4">
    <tabColor rgb="FFFFFF00"/>
  </sheetPr>
  <dimension ref="A1:M72"/>
  <sheetViews>
    <sheetView topLeftCell="A9" zoomScale="94" zoomScaleNormal="94" workbookViewId="0">
      <selection activeCell="A26" sqref="A26"/>
    </sheetView>
  </sheetViews>
  <sheetFormatPr defaultColWidth="10.796875" defaultRowHeight="15.6" x14ac:dyDescent="0.3"/>
  <cols>
    <col min="1" max="1" width="33.5" style="1" customWidth="1"/>
    <col min="2" max="2" width="20.796875" style="1" customWidth="1"/>
    <col min="3" max="3" width="5.3984375" style="1" bestFit="1" customWidth="1"/>
    <col min="4" max="4" width="5.09765625" style="1" customWidth="1"/>
    <col min="5" max="5" width="27.19921875" style="1" bestFit="1" customWidth="1"/>
    <col min="6" max="6" width="18" style="1" bestFit="1" customWidth="1"/>
    <col min="7" max="7" width="15.69921875" style="1" customWidth="1"/>
    <col min="8" max="8" width="13" style="1" bestFit="1" customWidth="1"/>
    <col min="9" max="9" width="10.796875" style="1"/>
    <col min="10" max="10" width="3.09765625" style="1" customWidth="1"/>
    <col min="11" max="11" width="22.5" style="1" bestFit="1" customWidth="1"/>
    <col min="12" max="12" width="13" style="1" customWidth="1"/>
    <col min="13" max="15" width="10.796875" style="1"/>
    <col min="16" max="16" width="22" style="1" bestFit="1" customWidth="1"/>
    <col min="17" max="17" width="15" style="1" bestFit="1" customWidth="1"/>
    <col min="18" max="16384" width="10.796875" style="1"/>
  </cols>
  <sheetData>
    <row r="1" spans="1:13" ht="67.05" customHeight="1" x14ac:dyDescent="0.3">
      <c r="A1" s="271" t="s">
        <v>72</v>
      </c>
      <c r="B1" s="272"/>
      <c r="C1" s="272"/>
      <c r="D1" s="272"/>
      <c r="E1" s="272"/>
      <c r="F1" s="272"/>
      <c r="G1" s="272"/>
      <c r="H1" s="272"/>
      <c r="I1" s="272"/>
      <c r="J1" s="204"/>
      <c r="K1" s="204"/>
      <c r="L1" s="204"/>
      <c r="M1" s="204"/>
    </row>
    <row r="2" spans="1:13" ht="18" x14ac:dyDescent="0.35">
      <c r="A2" s="200"/>
      <c r="B2" s="201"/>
      <c r="C2" s="201"/>
      <c r="D2" s="201"/>
      <c r="E2" s="202" t="s">
        <v>37</v>
      </c>
      <c r="F2" s="202"/>
      <c r="G2" s="202"/>
      <c r="H2" s="202"/>
      <c r="I2" s="203"/>
      <c r="K2" s="106" t="e">
        <f>#REF!</f>
        <v>#REF!</v>
      </c>
    </row>
    <row r="3" spans="1:13" ht="16.2" thickBot="1" x14ac:dyDescent="0.35">
      <c r="A3" s="273" t="s">
        <v>184</v>
      </c>
      <c r="B3" s="274"/>
      <c r="E3" s="198" t="s">
        <v>38</v>
      </c>
      <c r="F3" s="198" t="s">
        <v>39</v>
      </c>
      <c r="G3" s="198" t="s">
        <v>40</v>
      </c>
      <c r="H3" s="198" t="s">
        <v>41</v>
      </c>
      <c r="I3" s="199" t="s">
        <v>42</v>
      </c>
      <c r="K3" s="90"/>
      <c r="L3" s="83"/>
    </row>
    <row r="4" spans="1:13" ht="18" x14ac:dyDescent="0.35">
      <c r="A4" s="174" t="s">
        <v>8</v>
      </c>
      <c r="B4" s="205">
        <f>SUCESSÓRIO!B23</f>
        <v>-412000</v>
      </c>
      <c r="E4" s="94" t="s">
        <v>86</v>
      </c>
      <c r="F4" s="95" t="s">
        <v>6</v>
      </c>
      <c r="G4" s="95" t="s">
        <v>5</v>
      </c>
      <c r="H4" s="94">
        <f>IF(Controle!$F4="sim",1,0)</f>
        <v>1</v>
      </c>
      <c r="I4" s="96">
        <f>IF(Controle!$G4="sim",1,0)</f>
        <v>0</v>
      </c>
      <c r="K4" s="91" t="e">
        <f>#REF!</f>
        <v>#REF!</v>
      </c>
      <c r="L4" s="84"/>
    </row>
    <row r="5" spans="1:13" ht="18" x14ac:dyDescent="0.35">
      <c r="A5" s="177" t="s">
        <v>182</v>
      </c>
      <c r="B5" s="206">
        <f>SUCESSÓRIO!B24</f>
        <v>0</v>
      </c>
      <c r="E5" s="97" t="s">
        <v>10</v>
      </c>
      <c r="F5" s="95" t="s">
        <v>6</v>
      </c>
      <c r="G5" s="95" t="s">
        <v>6</v>
      </c>
      <c r="H5" s="97">
        <f>IF(Controle!$F5="sim",1,0)</f>
        <v>1</v>
      </c>
      <c r="I5" s="98">
        <f>IF(Controle!$G5="sim",1,0)</f>
        <v>1</v>
      </c>
      <c r="K5" s="91" t="e">
        <f>#REF!</f>
        <v>#REF!</v>
      </c>
      <c r="L5" s="84"/>
    </row>
    <row r="6" spans="1:13" s="54" customFormat="1" ht="18" x14ac:dyDescent="0.3">
      <c r="A6" s="217" t="s">
        <v>189</v>
      </c>
      <c r="B6" s="207">
        <f>'Visão 360°'!B92</f>
        <v>600000</v>
      </c>
      <c r="E6" s="99" t="s">
        <v>44</v>
      </c>
      <c r="F6" s="95" t="s">
        <v>5</v>
      </c>
      <c r="G6" s="95" t="s">
        <v>5</v>
      </c>
      <c r="H6" s="99">
        <f>IF(Controle!$F6="sim",1,0)</f>
        <v>0</v>
      </c>
      <c r="I6" s="100">
        <f>IF(Controle!$G6="sim",1,0)</f>
        <v>0</v>
      </c>
      <c r="K6" s="90" t="e">
        <f>#REF!</f>
        <v>#REF!</v>
      </c>
      <c r="L6" s="85"/>
    </row>
    <row r="7" spans="1:13" s="54" customFormat="1" ht="18" x14ac:dyDescent="0.35">
      <c r="A7" s="176" t="s">
        <v>183</v>
      </c>
      <c r="B7" s="208">
        <f>SUCESSÓRIO!B26</f>
        <v>0</v>
      </c>
      <c r="E7" s="97" t="s">
        <v>80</v>
      </c>
      <c r="F7" s="95" t="s">
        <v>6</v>
      </c>
      <c r="G7" s="95" t="s">
        <v>6</v>
      </c>
      <c r="H7" s="97">
        <f>IF(Controle!$F7="sim",1,0)</f>
        <v>1</v>
      </c>
      <c r="I7" s="98">
        <f>IF(Controle!$G7="sim",1,0)</f>
        <v>1</v>
      </c>
      <c r="K7" s="91" t="e">
        <f>K5-K6</f>
        <v>#REF!</v>
      </c>
      <c r="L7" s="86"/>
    </row>
    <row r="8" spans="1:13" s="54" customFormat="1" ht="14.4" x14ac:dyDescent="0.3">
      <c r="A8" s="275" t="s">
        <v>185</v>
      </c>
      <c r="B8" s="276"/>
      <c r="E8" s="99" t="s">
        <v>43</v>
      </c>
      <c r="F8" s="95" t="s">
        <v>6</v>
      </c>
      <c r="G8" s="95" t="s">
        <v>6</v>
      </c>
      <c r="H8" s="99">
        <f>IF(Controle!$F8="sim",1,0)</f>
        <v>1</v>
      </c>
      <c r="I8" s="100">
        <f>IF(Controle!$G8="sim",1,0)</f>
        <v>1</v>
      </c>
      <c r="K8" s="90" t="e">
        <f>#REF!</f>
        <v>#REF!</v>
      </c>
      <c r="L8" s="87"/>
    </row>
    <row r="9" spans="1:13" s="54" customFormat="1" ht="16.8" customHeight="1" x14ac:dyDescent="0.3">
      <c r="A9" s="177" t="s">
        <v>88</v>
      </c>
      <c r="B9" s="205">
        <f>'Visão 360°'!B31*200</f>
        <v>3000000</v>
      </c>
      <c r="E9" s="97" t="s">
        <v>7</v>
      </c>
      <c r="F9" s="95" t="s">
        <v>5</v>
      </c>
      <c r="G9" s="95" t="s">
        <v>5</v>
      </c>
      <c r="H9" s="97">
        <f>IF(Controle!$F9="sim",1,0)</f>
        <v>0</v>
      </c>
      <c r="I9" s="98">
        <f>IF(Controle!$G9="sim",1,0)</f>
        <v>0</v>
      </c>
      <c r="K9" s="107" t="e">
        <f>#REF!</f>
        <v>#REF!</v>
      </c>
      <c r="L9" s="88"/>
    </row>
    <row r="10" spans="1:13" s="54" customFormat="1" ht="14.4" x14ac:dyDescent="0.3">
      <c r="A10" s="92" t="s">
        <v>89</v>
      </c>
      <c r="B10" s="209">
        <f>'Visão 360°'!C64</f>
        <v>0</v>
      </c>
      <c r="E10" s="104" t="s">
        <v>87</v>
      </c>
      <c r="F10" s="105" t="s">
        <v>5</v>
      </c>
      <c r="G10" s="105" t="s">
        <v>5</v>
      </c>
      <c r="H10" s="104">
        <f>IF(Controle!$F10="sim",1,0)</f>
        <v>0</v>
      </c>
      <c r="I10" s="104">
        <f>IF(Controle!$G10="sim",1,0)</f>
        <v>0</v>
      </c>
    </row>
    <row r="11" spans="1:13" s="54" customFormat="1" ht="14.4" x14ac:dyDescent="0.3">
      <c r="A11" s="175" t="s">
        <v>85</v>
      </c>
      <c r="B11" s="209">
        <f>'Visão 360°'!B73</f>
        <v>0</v>
      </c>
      <c r="E11" s="101"/>
      <c r="F11" s="102"/>
      <c r="G11" s="102"/>
      <c r="H11" s="101"/>
      <c r="I11" s="101"/>
    </row>
    <row r="12" spans="1:13" s="54" customFormat="1" ht="14.4" x14ac:dyDescent="0.3">
      <c r="A12" s="280" t="s">
        <v>186</v>
      </c>
      <c r="B12" s="280"/>
      <c r="E12" s="101"/>
      <c r="H12" s="101"/>
      <c r="I12" s="101"/>
    </row>
    <row r="13" spans="1:13" s="54" customFormat="1" ht="14.4" x14ac:dyDescent="0.3">
      <c r="A13" s="210">
        <v>45938</v>
      </c>
      <c r="B13" s="211">
        <f ca="1">'Visão 360°'!B15/FUTURO!I8</f>
        <v>0.12794029557712158</v>
      </c>
      <c r="E13" s="103"/>
      <c r="H13" s="101"/>
      <c r="I13" s="101"/>
    </row>
    <row r="14" spans="1:13" s="54" customFormat="1" x14ac:dyDescent="0.3">
      <c r="C14" s="1"/>
      <c r="D14" s="1"/>
    </row>
    <row r="15" spans="1:13" s="54" customFormat="1" x14ac:dyDescent="0.3">
      <c r="A15" s="277" t="s">
        <v>58</v>
      </c>
      <c r="B15" s="277"/>
      <c r="C15" s="278"/>
      <c r="D15" s="76"/>
      <c r="E15" s="279"/>
      <c r="F15" s="279"/>
    </row>
    <row r="16" spans="1:13" s="54" customFormat="1" x14ac:dyDescent="0.3">
      <c r="A16" s="73" t="s">
        <v>60</v>
      </c>
      <c r="B16" s="81">
        <f>'Visão 360°'!B44</f>
        <v>30000</v>
      </c>
      <c r="C16" s="112"/>
      <c r="D16" s="1"/>
      <c r="E16" s="212"/>
      <c r="F16" s="213"/>
    </row>
    <row r="17" spans="1:8" s="54" customFormat="1" x14ac:dyDescent="0.3">
      <c r="A17" s="73" t="s">
        <v>73</v>
      </c>
      <c r="B17" s="81">
        <f>'Visão 360°'!B47</f>
        <v>270000</v>
      </c>
      <c r="C17" s="113"/>
      <c r="D17" s="1"/>
      <c r="E17" s="212"/>
      <c r="F17" s="213"/>
    </row>
    <row r="18" spans="1:8" s="54" customFormat="1" x14ac:dyDescent="0.3">
      <c r="A18" s="72" t="s">
        <v>70</v>
      </c>
      <c r="B18" s="178">
        <f>SUM(B22:B33)</f>
        <v>9200</v>
      </c>
      <c r="C18" s="80">
        <f>MIN($B$18/$B$17,1)</f>
        <v>3.4074074074074076E-2</v>
      </c>
      <c r="D18" s="1"/>
      <c r="E18" s="212"/>
      <c r="F18" s="213"/>
    </row>
    <row r="19" spans="1:8" s="54" customFormat="1" x14ac:dyDescent="0.3">
      <c r="A19" s="72" t="s">
        <v>71</v>
      </c>
      <c r="B19" s="77">
        <f>MAX($B$17-$B$18,0)</f>
        <v>260800</v>
      </c>
      <c r="C19" s="80">
        <f>MAX(1-$C$18,0)</f>
        <v>0.96592592592592597</v>
      </c>
      <c r="D19" s="1"/>
      <c r="E19" s="212"/>
      <c r="F19" s="213"/>
    </row>
    <row r="20" spans="1:8" s="54" customFormat="1" x14ac:dyDescent="0.3">
      <c r="A20" s="72" t="s">
        <v>74</v>
      </c>
      <c r="B20" s="77">
        <f>MAX($B$18-$B$17,0)</f>
        <v>0</v>
      </c>
      <c r="C20" s="4"/>
      <c r="D20" s="1"/>
      <c r="E20" s="212"/>
      <c r="F20" s="213"/>
      <c r="H20" s="111"/>
    </row>
    <row r="21" spans="1:8" s="54" customFormat="1" x14ac:dyDescent="0.3">
      <c r="A21" s="74" t="s">
        <v>59</v>
      </c>
      <c r="B21" s="82" t="s">
        <v>69</v>
      </c>
      <c r="C21" s="75"/>
      <c r="D21" s="2"/>
      <c r="E21" s="212"/>
      <c r="F21" s="213"/>
    </row>
    <row r="22" spans="1:8" s="54" customFormat="1" x14ac:dyDescent="0.3">
      <c r="A22" s="196" t="s">
        <v>195</v>
      </c>
      <c r="B22" s="197">
        <v>2000</v>
      </c>
      <c r="C22" s="196"/>
      <c r="D22" s="1"/>
      <c r="E22" s="212"/>
      <c r="F22" s="213"/>
    </row>
    <row r="23" spans="1:8" s="54" customFormat="1" x14ac:dyDescent="0.3">
      <c r="A23" s="4" t="s">
        <v>194</v>
      </c>
      <c r="B23" s="79">
        <v>4200</v>
      </c>
      <c r="C23" s="4"/>
      <c r="D23" s="1"/>
      <c r="E23" s="212"/>
      <c r="F23" s="213"/>
    </row>
    <row r="24" spans="1:8" s="54" customFormat="1" x14ac:dyDescent="0.3">
      <c r="A24" s="196" t="s">
        <v>193</v>
      </c>
      <c r="B24" s="197">
        <v>3000</v>
      </c>
      <c r="C24" s="196"/>
      <c r="D24" s="1"/>
      <c r="E24" s="212"/>
      <c r="F24" s="213"/>
    </row>
    <row r="25" spans="1:8" s="54" customFormat="1" x14ac:dyDescent="0.3">
      <c r="A25" s="4" t="s">
        <v>196</v>
      </c>
      <c r="B25" s="79"/>
      <c r="C25" s="4"/>
      <c r="D25" s="1"/>
      <c r="E25" s="212"/>
      <c r="F25" s="213"/>
    </row>
    <row r="26" spans="1:8" s="54" customFormat="1" x14ac:dyDescent="0.3">
      <c r="A26" s="196" t="s">
        <v>61</v>
      </c>
      <c r="B26" s="197"/>
      <c r="C26" s="196"/>
      <c r="D26" s="1"/>
      <c r="E26" s="212"/>
      <c r="F26" s="213"/>
    </row>
    <row r="27" spans="1:8" s="54" customFormat="1" x14ac:dyDescent="0.3">
      <c r="A27" s="4" t="s">
        <v>62</v>
      </c>
      <c r="B27" s="79"/>
      <c r="C27" s="4"/>
      <c r="D27" s="1"/>
      <c r="E27" s="212"/>
      <c r="F27" s="213"/>
    </row>
    <row r="28" spans="1:8" s="54" customFormat="1" x14ac:dyDescent="0.3">
      <c r="A28" s="196" t="s">
        <v>63</v>
      </c>
      <c r="B28" s="197"/>
      <c r="C28" s="196"/>
      <c r="D28" s="1"/>
      <c r="E28" s="212"/>
      <c r="F28" s="213"/>
    </row>
    <row r="29" spans="1:8" s="54" customFormat="1" x14ac:dyDescent="0.3">
      <c r="A29" s="4" t="s">
        <v>64</v>
      </c>
      <c r="B29" s="79"/>
      <c r="C29" s="4"/>
      <c r="D29" s="1"/>
      <c r="E29" s="212"/>
      <c r="F29" s="214"/>
    </row>
    <row r="30" spans="1:8" s="54" customFormat="1" x14ac:dyDescent="0.3">
      <c r="A30" s="196" t="s">
        <v>65</v>
      </c>
      <c r="B30" s="197"/>
      <c r="C30" s="196"/>
      <c r="D30" s="1"/>
      <c r="E30" s="212"/>
      <c r="F30" s="214"/>
    </row>
    <row r="31" spans="1:8" s="54" customFormat="1" x14ac:dyDescent="0.3">
      <c r="A31" s="4" t="s">
        <v>66</v>
      </c>
      <c r="B31" s="79"/>
      <c r="C31" s="4"/>
      <c r="D31" s="1"/>
      <c r="E31" s="215"/>
      <c r="F31" s="214"/>
    </row>
    <row r="32" spans="1:8" s="54" customFormat="1" x14ac:dyDescent="0.3">
      <c r="A32" s="196" t="s">
        <v>67</v>
      </c>
      <c r="B32" s="197"/>
      <c r="C32" s="196"/>
      <c r="D32" s="1"/>
      <c r="E32" s="215"/>
      <c r="F32" s="214"/>
    </row>
    <row r="33" spans="1:8" s="54" customFormat="1" x14ac:dyDescent="0.3">
      <c r="A33" s="4" t="s">
        <v>68</v>
      </c>
      <c r="B33" s="79"/>
      <c r="C33" s="4"/>
      <c r="D33" s="1"/>
      <c r="E33" s="215"/>
      <c r="F33" s="57"/>
      <c r="G33" s="56"/>
    </row>
    <row r="34" spans="1:8" s="54" customFormat="1" x14ac:dyDescent="0.3">
      <c r="A34" s="1"/>
      <c r="B34" s="1"/>
      <c r="C34" s="1"/>
      <c r="D34" s="1"/>
      <c r="E34" s="216"/>
      <c r="F34" s="56"/>
      <c r="G34" s="56"/>
    </row>
    <row r="35" spans="1:8" s="54" customFormat="1" x14ac:dyDescent="0.3">
      <c r="A35" s="1"/>
      <c r="B35" s="1"/>
      <c r="C35" s="57"/>
      <c r="D35" s="57"/>
      <c r="E35" s="56"/>
      <c r="F35" s="56"/>
      <c r="G35" s="56"/>
      <c r="H35" s="56"/>
    </row>
    <row r="36" spans="1:8" s="54" customFormat="1" x14ac:dyDescent="0.3">
      <c r="A36" s="1"/>
      <c r="B36" s="1"/>
      <c r="C36" s="56"/>
      <c r="D36" s="56"/>
      <c r="E36" s="56"/>
      <c r="F36" s="56"/>
      <c r="G36" s="56"/>
      <c r="H36" s="56"/>
    </row>
    <row r="37" spans="1:8" s="54" customFormat="1" x14ac:dyDescent="0.3">
      <c r="A37" s="1"/>
      <c r="B37" s="1"/>
      <c r="C37" s="56"/>
      <c r="D37" s="56"/>
      <c r="E37" s="56"/>
      <c r="F37" s="56"/>
      <c r="G37" s="56"/>
      <c r="H37" s="56"/>
    </row>
    <row r="38" spans="1:8" s="54" customFormat="1" x14ac:dyDescent="0.3">
      <c r="A38" s="1"/>
      <c r="B38" s="1"/>
      <c r="C38" s="55"/>
      <c r="D38" s="55"/>
      <c r="E38" s="56"/>
      <c r="F38" s="56"/>
      <c r="G38" s="56"/>
      <c r="H38" s="56"/>
    </row>
    <row r="39" spans="1:8" s="54" customFormat="1" x14ac:dyDescent="0.3">
      <c r="A39" s="1"/>
      <c r="B39" s="1"/>
      <c r="E39" s="56"/>
      <c r="F39" s="56"/>
      <c r="G39" s="56"/>
      <c r="H39" s="56"/>
    </row>
    <row r="40" spans="1:8" s="54" customFormat="1" x14ac:dyDescent="0.3">
      <c r="A40" s="1"/>
      <c r="B40" s="1"/>
      <c r="E40" s="56"/>
      <c r="F40" s="56"/>
      <c r="G40" s="56"/>
      <c r="H40" s="56"/>
    </row>
    <row r="41" spans="1:8" s="54" customFormat="1" x14ac:dyDescent="0.3">
      <c r="A41" s="1"/>
      <c r="B41" s="1"/>
      <c r="E41" s="56"/>
      <c r="F41" s="56"/>
      <c r="G41" s="56"/>
      <c r="H41" s="56"/>
    </row>
    <row r="42" spans="1:8" s="54" customFormat="1" x14ac:dyDescent="0.3">
      <c r="A42" s="1"/>
      <c r="B42" s="1"/>
      <c r="E42" s="56"/>
      <c r="H42" s="56"/>
    </row>
    <row r="43" spans="1:8" s="54" customFormat="1" x14ac:dyDescent="0.3">
      <c r="A43" s="1"/>
      <c r="B43" s="1"/>
      <c r="E43" s="56"/>
      <c r="H43" s="56"/>
    </row>
    <row r="44" spans="1:8" s="54" customFormat="1" x14ac:dyDescent="0.3">
      <c r="A44" s="1"/>
      <c r="B44" s="1"/>
    </row>
    <row r="45" spans="1:8" s="54" customFormat="1" ht="13.8" x14ac:dyDescent="0.25"/>
    <row r="46" spans="1:8" s="54" customFormat="1" x14ac:dyDescent="0.3">
      <c r="A46" s="56"/>
      <c r="G46" s="1"/>
    </row>
    <row r="47" spans="1:8" s="54" customFormat="1" x14ac:dyDescent="0.3">
      <c r="A47" s="56"/>
      <c r="G47" s="1"/>
    </row>
    <row r="48" spans="1:8" x14ac:dyDescent="0.3">
      <c r="A48" s="56"/>
      <c r="B48" s="54"/>
      <c r="C48" s="54"/>
      <c r="D48" s="54"/>
      <c r="E48" s="54"/>
      <c r="F48" s="54"/>
    </row>
    <row r="49" spans="1:6" x14ac:dyDescent="0.3">
      <c r="A49" s="56"/>
      <c r="B49" s="54"/>
      <c r="C49" s="54"/>
      <c r="D49" s="54"/>
      <c r="E49" s="54"/>
      <c r="F49" s="54"/>
    </row>
    <row r="50" spans="1:6" x14ac:dyDescent="0.3">
      <c r="A50" s="56"/>
      <c r="B50" s="54"/>
      <c r="C50" s="54"/>
      <c r="D50" s="54"/>
      <c r="E50" s="54"/>
      <c r="F50" s="54"/>
    </row>
    <row r="51" spans="1:6" x14ac:dyDescent="0.3">
      <c r="A51" s="54"/>
      <c r="B51" s="54"/>
      <c r="C51" s="54"/>
      <c r="D51" s="54"/>
      <c r="E51" s="54"/>
      <c r="F51" s="54"/>
    </row>
    <row r="52" spans="1:6" x14ac:dyDescent="0.3">
      <c r="A52" s="54"/>
      <c r="B52" s="54"/>
      <c r="C52" s="54"/>
      <c r="D52" s="54"/>
      <c r="E52" s="54"/>
      <c r="F52" s="54"/>
    </row>
    <row r="53" spans="1:6" x14ac:dyDescent="0.3">
      <c r="A53" s="54"/>
      <c r="B53" s="54"/>
      <c r="C53" s="54"/>
      <c r="D53" s="54"/>
      <c r="E53" s="54"/>
    </row>
    <row r="54" spans="1:6" x14ac:dyDescent="0.3">
      <c r="A54" s="54"/>
      <c r="B54" s="54"/>
      <c r="C54" s="54"/>
      <c r="D54" s="54"/>
      <c r="E54" s="54"/>
    </row>
    <row r="70" spans="1:2" x14ac:dyDescent="0.3">
      <c r="B70" s="70"/>
    </row>
    <row r="71" spans="1:2" x14ac:dyDescent="0.3">
      <c r="A71" s="56"/>
      <c r="B71" s="56"/>
    </row>
    <row r="72" spans="1:2" x14ac:dyDescent="0.3">
      <c r="A72" s="56"/>
      <c r="B72" s="56"/>
    </row>
  </sheetData>
  <mergeCells count="6">
    <mergeCell ref="A1:I1"/>
    <mergeCell ref="A3:B3"/>
    <mergeCell ref="A8:B8"/>
    <mergeCell ref="A15:C15"/>
    <mergeCell ref="E15:F15"/>
    <mergeCell ref="A12:B12"/>
  </mergeCells>
  <phoneticPr fontId="16" type="noConversion"/>
  <conditionalFormatting sqref="B18">
    <cfRule type="duplicateValues" dxfId="8" priority="1"/>
    <cfRule type="cellIs" dxfId="7" priority="2" operator="greaterThan">
      <formula>$B$17</formula>
    </cfRule>
  </conditionalFormatting>
  <conditionalFormatting sqref="B19">
    <cfRule type="cellIs" dxfId="6" priority="3" operator="equal">
      <formula>0</formula>
    </cfRule>
    <cfRule type="cellIs" dxfId="5" priority="5" operator="greaterThan">
      <formula>0</formula>
    </cfRule>
  </conditionalFormatting>
  <conditionalFormatting sqref="B19:B20">
    <cfRule type="cellIs" dxfId="4" priority="6" operator="greaterThan">
      <formula>0</formula>
    </cfRule>
  </conditionalFormatting>
  <conditionalFormatting sqref="F4:G10">
    <cfRule type="notContainsText" dxfId="3" priority="9" operator="notContains" text="Sim">
      <formula>ISERROR(SEARCH("Sim",F4))</formula>
    </cfRule>
    <cfRule type="containsText" dxfId="2" priority="10" operator="containsText" text="Sim">
      <formula>NOT(ISERROR(SEARCH("Sim",F4)))</formula>
    </cfRule>
  </conditionalFormatting>
  <dataValidations count="1">
    <dataValidation type="list" allowBlank="1" showInputMessage="1" showErrorMessage="1" sqref="F4:G10" xr:uid="{002E50A5-9D11-A841-B171-CFEF25CA8ADA}">
      <formula1>"Sim,Não"</formula1>
    </dataValidation>
  </dataValidations>
  <pageMargins left="0.511811024" right="0.511811024" top="0.78740157499999996" bottom="0.78740157499999996" header="0.31496062000000002" footer="0.31496062000000002"/>
  <ignoredErrors>
    <ignoredError sqref="K2:K10" evalError="1"/>
  </ignoredError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C313-0BC4-7249-B999-5C07785F75E2}">
  <sheetPr codeName="Planilha5">
    <tabColor theme="9" tint="0.39997558519241921"/>
  </sheetPr>
  <dimension ref="A1:U60"/>
  <sheetViews>
    <sheetView zoomScale="45" zoomScaleNormal="45" zoomScaleSheetLayoutView="62" zoomScalePageLayoutView="62" workbookViewId="0">
      <selection activeCell="AA21" sqref="AA21"/>
    </sheetView>
  </sheetViews>
  <sheetFormatPr defaultColWidth="10.796875" defaultRowHeight="15.6" x14ac:dyDescent="0.3"/>
  <cols>
    <col min="1" max="1" width="3.296875" style="1" customWidth="1"/>
    <col min="2" max="2" width="25.69921875" style="1" customWidth="1"/>
    <col min="3" max="3" width="10.796875" style="1"/>
    <col min="4" max="4" width="19.5" style="1" customWidth="1"/>
    <col min="5" max="5" width="26.19921875" style="1" customWidth="1"/>
    <col min="6" max="6" width="14.69921875" style="1" customWidth="1"/>
    <col min="7" max="7" width="18.69921875" style="1" bestFit="1" customWidth="1"/>
    <col min="8" max="8" width="16.296875" style="1" bestFit="1" customWidth="1"/>
    <col min="9" max="9" width="16" style="1" customWidth="1"/>
    <col min="10" max="11" width="15.296875" style="1" customWidth="1"/>
    <col min="12" max="12" width="12.796875" style="1" bestFit="1" customWidth="1"/>
    <col min="13" max="13" width="3.296875" style="1" customWidth="1"/>
    <col min="14" max="18" width="10.796875" style="1"/>
    <col min="19" max="19" width="9.3984375" style="1" customWidth="1"/>
    <col min="20" max="16384" width="10.796875" style="1"/>
  </cols>
  <sheetData>
    <row r="1" spans="1:21" ht="18" x14ac:dyDescent="0.3">
      <c r="A1" s="5" t="s">
        <v>9</v>
      </c>
      <c r="B1" s="5"/>
      <c r="C1" s="5"/>
      <c r="D1" s="5"/>
      <c r="E1" s="58"/>
      <c r="F1" s="58"/>
      <c r="G1" s="58"/>
      <c r="H1" s="58"/>
      <c r="I1" s="58"/>
      <c r="J1" s="58"/>
      <c r="K1" s="58"/>
      <c r="L1" s="5"/>
      <c r="M1" s="5" t="s">
        <v>9</v>
      </c>
      <c r="N1" s="5"/>
      <c r="O1" s="5"/>
      <c r="P1" s="5"/>
      <c r="Q1" s="5"/>
      <c r="R1" s="5"/>
      <c r="S1" s="5"/>
      <c r="T1" s="108"/>
      <c r="U1" s="108"/>
    </row>
    <row r="2" spans="1:21" ht="18" x14ac:dyDescent="0.3">
      <c r="A2" s="5" t="s">
        <v>9</v>
      </c>
      <c r="B2" s="5"/>
      <c r="C2" s="58"/>
      <c r="D2" s="58"/>
      <c r="E2" s="58"/>
      <c r="F2" s="58"/>
      <c r="G2" s="58"/>
      <c r="H2" s="58"/>
      <c r="I2" s="58"/>
      <c r="J2" s="58"/>
      <c r="K2" s="58"/>
      <c r="L2" s="5"/>
      <c r="M2" s="5" t="s">
        <v>9</v>
      </c>
      <c r="N2" s="5"/>
      <c r="O2" s="5"/>
      <c r="P2" s="5"/>
      <c r="Q2" s="5"/>
      <c r="R2" s="5"/>
      <c r="S2" s="5"/>
      <c r="T2" s="108"/>
      <c r="U2" s="108"/>
    </row>
    <row r="3" spans="1:21" ht="18" x14ac:dyDescent="0.3">
      <c r="A3" s="5" t="s">
        <v>9</v>
      </c>
      <c r="B3" s="5"/>
      <c r="C3" s="58"/>
      <c r="D3" s="58"/>
      <c r="E3" s="58"/>
      <c r="F3" s="58"/>
      <c r="G3" s="58"/>
      <c r="H3" s="58"/>
      <c r="I3" s="58"/>
      <c r="J3" s="58"/>
      <c r="K3" s="58"/>
      <c r="L3" s="5"/>
      <c r="M3" s="5" t="s">
        <v>9</v>
      </c>
      <c r="N3" s="5"/>
      <c r="O3" s="5"/>
      <c r="P3" s="5"/>
      <c r="Q3" s="5"/>
      <c r="R3" s="5"/>
      <c r="S3" s="5"/>
      <c r="T3" s="108"/>
      <c r="U3" s="108"/>
    </row>
    <row r="4" spans="1:21" ht="18" x14ac:dyDescent="0.3">
      <c r="A4" s="5" t="s">
        <v>9</v>
      </c>
      <c r="B4" s="5"/>
      <c r="C4" s="58"/>
      <c r="D4" s="58"/>
      <c r="E4" s="58"/>
      <c r="F4" s="58"/>
      <c r="G4" s="58"/>
      <c r="H4" s="58"/>
      <c r="I4" s="58"/>
      <c r="J4" s="58"/>
      <c r="K4" s="58"/>
      <c r="L4" s="5"/>
      <c r="M4" s="5" t="s">
        <v>9</v>
      </c>
      <c r="N4" s="5"/>
      <c r="O4" s="5"/>
      <c r="P4" s="5"/>
      <c r="Q4" s="5"/>
      <c r="R4" s="5"/>
      <c r="S4" s="5"/>
      <c r="T4" s="108"/>
      <c r="U4" s="108"/>
    </row>
    <row r="5" spans="1:2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 t="s">
        <v>9</v>
      </c>
      <c r="N5" s="5"/>
      <c r="O5" s="5"/>
      <c r="P5" s="5"/>
      <c r="Q5" s="5"/>
      <c r="R5" s="5"/>
      <c r="S5" s="5"/>
      <c r="T5" s="108"/>
      <c r="U5" s="108"/>
    </row>
    <row r="6" spans="1:2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08"/>
      <c r="U6" s="108"/>
    </row>
    <row r="7" spans="1:2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08"/>
      <c r="U7" s="108"/>
    </row>
    <row r="8" spans="1:2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08"/>
      <c r="U8" s="108"/>
    </row>
    <row r="9" spans="1:2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08"/>
      <c r="U9" s="108"/>
    </row>
    <row r="10" spans="1:2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108"/>
      <c r="U10" s="108"/>
    </row>
    <row r="11" spans="1:2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08"/>
      <c r="U11" s="108"/>
    </row>
    <row r="12" spans="1:2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08"/>
      <c r="U12" s="108"/>
    </row>
    <row r="13" spans="1:2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08"/>
      <c r="U13" s="108"/>
    </row>
    <row r="14" spans="1:2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08"/>
      <c r="U14" s="108"/>
    </row>
    <row r="15" spans="1:2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08"/>
      <c r="U15" s="108"/>
    </row>
    <row r="16" spans="1:2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08"/>
      <c r="U16" s="108"/>
    </row>
    <row r="17" spans="1:2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08"/>
      <c r="U17" s="108"/>
    </row>
    <row r="18" spans="1:2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08"/>
      <c r="U18" s="108"/>
    </row>
    <row r="19" spans="1:2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08"/>
      <c r="U19" s="108"/>
    </row>
    <row r="20" spans="1:2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108"/>
      <c r="U20" s="108"/>
    </row>
    <row r="21" spans="1:2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08"/>
      <c r="U21" s="108"/>
    </row>
    <row r="22" spans="1:2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08"/>
      <c r="S22" s="5"/>
      <c r="T22" s="108"/>
      <c r="U22" s="108"/>
    </row>
    <row r="23" spans="1:2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108"/>
      <c r="U23" s="108"/>
    </row>
    <row r="24" spans="1:2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08"/>
      <c r="U24" s="108"/>
    </row>
    <row r="25" spans="1:2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108"/>
      <c r="U25" s="108"/>
    </row>
    <row r="26" spans="1:2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108"/>
      <c r="U26" s="108"/>
    </row>
    <row r="27" spans="1:2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108"/>
      <c r="U27" s="108"/>
    </row>
    <row r="28" spans="1:2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108"/>
      <c r="U28" s="108"/>
    </row>
    <row r="29" spans="1:2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108"/>
      <c r="U29" s="108"/>
    </row>
    <row r="30" spans="1:2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108"/>
      <c r="U30" s="108"/>
    </row>
    <row r="31" spans="1:2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108"/>
      <c r="U31" s="108"/>
    </row>
    <row r="32" spans="1:2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108"/>
      <c r="U32" s="108"/>
    </row>
    <row r="33" spans="1:2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08"/>
      <c r="U33" s="108"/>
    </row>
    <row r="34" spans="1:2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108"/>
      <c r="U34" s="108"/>
    </row>
    <row r="35" spans="1:2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108"/>
      <c r="U35" s="108"/>
    </row>
    <row r="36" spans="1:2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108"/>
      <c r="U36" s="108"/>
    </row>
    <row r="37" spans="1:2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108"/>
      <c r="U37" s="108"/>
    </row>
    <row r="38" spans="1:2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108"/>
      <c r="U38" s="108"/>
    </row>
    <row r="39" spans="1:2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108"/>
      <c r="U39" s="108"/>
    </row>
    <row r="40" spans="1:2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08"/>
      <c r="U40" s="108"/>
    </row>
    <row r="41" spans="1:2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08"/>
      <c r="U41" s="108"/>
    </row>
    <row r="42" spans="1:2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08"/>
      <c r="U42" s="108"/>
    </row>
    <row r="43" spans="1:2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108"/>
      <c r="U43" s="108"/>
    </row>
    <row r="44" spans="1:2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108"/>
      <c r="U44" s="108"/>
    </row>
    <row r="45" spans="1:2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08"/>
      <c r="U45" s="108"/>
    </row>
    <row r="46" spans="1:2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08"/>
      <c r="U46" s="108"/>
    </row>
    <row r="47" spans="1:2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08"/>
      <c r="U47" s="108"/>
    </row>
    <row r="48" spans="1:2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08"/>
      <c r="U48" s="108"/>
    </row>
    <row r="49" spans="1:21" ht="65.400000000000006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08"/>
      <c r="U49" s="108"/>
    </row>
    <row r="50" spans="1:2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08"/>
      <c r="U50" s="108"/>
    </row>
    <row r="51" spans="1:2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108"/>
      <c r="U51" s="108"/>
    </row>
    <row r="52" spans="1:2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108"/>
      <c r="U52" s="108"/>
    </row>
    <row r="53" spans="1:21" ht="46.2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108"/>
      <c r="U53" s="108"/>
    </row>
    <row r="56" spans="1:21" x14ac:dyDescent="0.3">
      <c r="O56" s="109"/>
    </row>
    <row r="58" spans="1:21" x14ac:dyDescent="0.3">
      <c r="O58" s="110"/>
    </row>
    <row r="60" spans="1:21" x14ac:dyDescent="0.3">
      <c r="O60" s="109"/>
    </row>
  </sheetData>
  <pageMargins left="0.511811024" right="0.511811024" top="0.78740157499999996" bottom="0.78740157499999996" header="0.31496062000000002" footer="0.31496062000000002"/>
  <pageSetup paperSize="9" scale="3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>
                <anchor moveWithCells="1" sizeWithCells="1">
                  <from>
                    <xdr:col>6</xdr:col>
                    <xdr:colOff>15240</xdr:colOff>
                    <xdr:row>0</xdr:row>
                    <xdr:rowOff>0</xdr:rowOff>
                  </from>
                  <to>
                    <xdr:col>11</xdr:col>
                    <xdr:colOff>15240</xdr:colOff>
                    <xdr:row>0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CDF5-91A2-4EB4-9238-C22E188533CE}">
  <dimension ref="A1:E26"/>
  <sheetViews>
    <sheetView showGridLines="0" topLeftCell="A9" workbookViewId="0">
      <selection activeCell="B26" sqref="B26"/>
    </sheetView>
  </sheetViews>
  <sheetFormatPr defaultRowHeight="15.6" x14ac:dyDescent="0.3"/>
  <cols>
    <col min="1" max="1" width="92.09765625" bestFit="1" customWidth="1"/>
    <col min="2" max="2" width="15.8984375" bestFit="1" customWidth="1"/>
    <col min="4" max="4" width="25.5" bestFit="1" customWidth="1"/>
    <col min="5" max="5" width="28.09765625" customWidth="1"/>
  </cols>
  <sheetData>
    <row r="1" spans="1:5" ht="27.6" customHeight="1" x14ac:dyDescent="0.35">
      <c r="A1" s="281" t="s">
        <v>152</v>
      </c>
      <c r="B1" s="282"/>
      <c r="C1" s="282"/>
      <c r="D1" s="282"/>
      <c r="E1" s="282"/>
    </row>
    <row r="2" spans="1:5" x14ac:dyDescent="0.3">
      <c r="A2" s="283" t="s">
        <v>153</v>
      </c>
      <c r="B2" s="282"/>
      <c r="C2" s="282"/>
      <c r="D2" s="282"/>
      <c r="E2" s="282"/>
    </row>
    <row r="3" spans="1:5" ht="7.8" customHeight="1" x14ac:dyDescent="0.3">
      <c r="A3" s="183"/>
      <c r="B3" s="183"/>
      <c r="C3" s="182"/>
    </row>
    <row r="4" spans="1:5" x14ac:dyDescent="0.3">
      <c r="A4" s="170" t="s">
        <v>154</v>
      </c>
      <c r="B4" s="179"/>
      <c r="C4" s="182"/>
    </row>
    <row r="5" spans="1:5" x14ac:dyDescent="0.3">
      <c r="A5" s="171" t="s">
        <v>155</v>
      </c>
      <c r="B5" s="179" t="str">
        <f>'Visão 360°'!B76</f>
        <v>Solteiro</v>
      </c>
      <c r="C5" s="182"/>
    </row>
    <row r="6" spans="1:5" x14ac:dyDescent="0.3">
      <c r="A6" s="171" t="s">
        <v>156</v>
      </c>
      <c r="B6" s="179" t="str">
        <f>'Visão 360°'!B77</f>
        <v>Não Aplicável</v>
      </c>
      <c r="C6" s="182"/>
      <c r="D6" s="282"/>
      <c r="E6" s="282"/>
    </row>
    <row r="7" spans="1:5" x14ac:dyDescent="0.3">
      <c r="A7" s="171" t="s">
        <v>157</v>
      </c>
      <c r="B7" s="179" t="s">
        <v>5</v>
      </c>
      <c r="C7" s="182"/>
      <c r="D7" s="282"/>
      <c r="E7" s="282"/>
    </row>
    <row r="8" spans="1:5" x14ac:dyDescent="0.3">
      <c r="A8" s="171" t="s">
        <v>158</v>
      </c>
      <c r="B8" s="179" t="s">
        <v>5</v>
      </c>
      <c r="C8" s="182"/>
      <c r="D8" s="282"/>
      <c r="E8" s="282"/>
    </row>
    <row r="9" spans="1:5" x14ac:dyDescent="0.3">
      <c r="A9" s="171" t="s">
        <v>159</v>
      </c>
      <c r="B9" s="179" t="s">
        <v>6</v>
      </c>
      <c r="C9" s="182"/>
      <c r="D9" s="282"/>
      <c r="E9" s="282"/>
    </row>
    <row r="10" spans="1:5" x14ac:dyDescent="0.3">
      <c r="A10" s="171" t="s">
        <v>160</v>
      </c>
      <c r="B10" s="180">
        <f>'Visão 360°'!B79</f>
        <v>1</v>
      </c>
      <c r="C10" s="182"/>
      <c r="D10" s="282"/>
      <c r="E10" s="282"/>
    </row>
    <row r="11" spans="1:5" x14ac:dyDescent="0.3">
      <c r="A11" s="171" t="s">
        <v>161</v>
      </c>
      <c r="B11" s="179" t="s">
        <v>6</v>
      </c>
      <c r="C11" s="182"/>
      <c r="D11" s="282"/>
      <c r="E11" s="282"/>
    </row>
    <row r="12" spans="1:5" x14ac:dyDescent="0.3">
      <c r="A12" s="171" t="s">
        <v>162</v>
      </c>
      <c r="B12" s="179"/>
      <c r="C12" s="182"/>
    </row>
    <row r="13" spans="1:5" ht="8.4" customHeight="1" x14ac:dyDescent="0.3">
      <c r="A13" s="184"/>
      <c r="B13" s="185"/>
      <c r="C13" s="182"/>
    </row>
    <row r="14" spans="1:5" x14ac:dyDescent="0.3">
      <c r="A14" s="170" t="s">
        <v>163</v>
      </c>
      <c r="B14" s="179"/>
      <c r="C14" s="182"/>
    </row>
    <row r="15" spans="1:5" x14ac:dyDescent="0.3">
      <c r="A15" s="171" t="s">
        <v>164</v>
      </c>
      <c r="B15" s="181">
        <f>'Visão 360°'!B83</f>
        <v>0</v>
      </c>
      <c r="C15" s="182"/>
    </row>
    <row r="16" spans="1:5" x14ac:dyDescent="0.3">
      <c r="A16" s="171" t="s">
        <v>165</v>
      </c>
      <c r="B16" s="181">
        <f>'Visão 360°'!B84</f>
        <v>-12000</v>
      </c>
      <c r="C16" s="182"/>
    </row>
    <row r="17" spans="1:3" x14ac:dyDescent="0.3">
      <c r="A17" s="171" t="s">
        <v>166</v>
      </c>
      <c r="B17" s="181">
        <f>'Visão 360°'!B85</f>
        <v>400000</v>
      </c>
      <c r="C17" s="182"/>
    </row>
    <row r="18" spans="1:3" x14ac:dyDescent="0.3">
      <c r="A18" s="171" t="s">
        <v>167</v>
      </c>
      <c r="B18" s="181">
        <f>'Visão 360°'!B81+'Visão 360°'!B82</f>
        <v>600000</v>
      </c>
      <c r="C18" s="182"/>
    </row>
    <row r="19" spans="1:3" ht="9" customHeight="1" x14ac:dyDescent="0.3">
      <c r="A19" s="184"/>
      <c r="B19" s="185"/>
      <c r="C19" s="182"/>
    </row>
    <row r="20" spans="1:3" x14ac:dyDescent="0.3">
      <c r="A20" s="170" t="s">
        <v>168</v>
      </c>
      <c r="B20" s="179"/>
      <c r="C20" s="182"/>
    </row>
    <row r="21" spans="1:3" x14ac:dyDescent="0.3">
      <c r="A21" s="171" t="s">
        <v>169</v>
      </c>
      <c r="B21" s="181">
        <f>IF(OR(B5="Casado",B5="União estável"),
    IF(B6="Comunhão Parcial", B15*0.5,
       IF(B6="Comunhão Universal", (B15+B16)*0.5,
          IF(B6="Separação Total", 0,
             IF(B6="Separação Obrigatória", IF(B8="Sim", B15*0.5, 0), 0)
          )
       )
    ),
    0
)</f>
        <v>0</v>
      </c>
      <c r="C21" s="182"/>
    </row>
    <row r="22" spans="1:3" x14ac:dyDescent="0.3">
      <c r="A22" s="171" t="s">
        <v>170</v>
      </c>
      <c r="B22" s="181">
        <f>IF($B$5="Solteiro", $B$15+$B$16,IF($B$6="Comunhão Parcial", $B$15*0.5 + $B$16,IF($B$6="Comunhão Universal", ($B$15+$B$16)*0.5,IF($B$6="Separação Total", $B$15+$B$16,IF($B$6="Separação Obrigatória", IF($B$8="Sim", $B$15*0.5 + $B$16, $B$15+$B$16), 0)))))</f>
        <v>-12000</v>
      </c>
      <c r="C22" s="182"/>
    </row>
    <row r="23" spans="1:3" x14ac:dyDescent="0.3">
      <c r="A23" s="171" t="s">
        <v>171</v>
      </c>
      <c r="B23" s="181">
        <f>$B$22 - $B$17</f>
        <v>-412000</v>
      </c>
      <c r="C23" s="182"/>
    </row>
    <row r="24" spans="1:3" x14ac:dyDescent="0.3">
      <c r="A24" s="171" t="s">
        <v>172</v>
      </c>
      <c r="B24" s="181">
        <f>IF($B$23&gt;0, $B$23*0.2, 0)</f>
        <v>0</v>
      </c>
      <c r="C24" s="182"/>
    </row>
    <row r="25" spans="1:3" x14ac:dyDescent="0.3">
      <c r="A25" s="171" t="s">
        <v>173</v>
      </c>
      <c r="B25" s="181">
        <f>$B$18</f>
        <v>600000</v>
      </c>
      <c r="C25" s="182"/>
    </row>
    <row r="26" spans="1:3" x14ac:dyDescent="0.3">
      <c r="A26" s="171" t="s">
        <v>174</v>
      </c>
      <c r="B26" s="181">
        <f>MAX(0, $B$24 - $B$25)</f>
        <v>0</v>
      </c>
      <c r="C26" s="182"/>
    </row>
  </sheetData>
  <mergeCells count="3">
    <mergeCell ref="A1:E1"/>
    <mergeCell ref="A2:E2"/>
    <mergeCell ref="D6:E11"/>
  </mergeCells>
  <conditionalFormatting sqref="B21">
    <cfRule type="expression" dxfId="1" priority="1">
      <formula>OR($E$7,$E$10)</formula>
    </cfRule>
    <cfRule type="expression" dxfId="0" priority="2">
      <formula>AND($E$6,NOT(OR($E$7,$E$10)))</formula>
    </cfRule>
  </conditionalFormatting>
  <dataValidations count="3">
    <dataValidation type="list" allowBlank="1" showInputMessage="1" showErrorMessage="1" sqref="B11 B7:B9" xr:uid="{2DA0A64A-B0C5-43DA-817A-2C3ACD8CB1A8}">
      <formula1>"Sim,Não"</formula1>
    </dataValidation>
    <dataValidation type="list" allowBlank="1" showInputMessage="1" showErrorMessage="1" sqref="B6" xr:uid="{72A11BE6-9821-4CA8-A941-9C874D1389F8}">
      <formula1>"Comunhão Parcial,Comunhão Universal,Separação Total,Separação Obrigatória"</formula1>
    </dataValidation>
    <dataValidation type="list" allowBlank="1" showInputMessage="1" showErrorMessage="1" sqref="B5" xr:uid="{0DDCC7B7-F680-4E10-88A7-F9EB71EBEF02}">
      <formula1>"Solteiro,Casado,União estável,Divorciado,Viúvo"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FCF9-2E03-704C-ABB2-6B344C22568A}">
  <sheetPr codeName="Planilha6">
    <tabColor rgb="FFFFC000"/>
  </sheetPr>
  <dimension ref="C2:V54"/>
  <sheetViews>
    <sheetView showGridLines="0" workbookViewId="0">
      <selection activeCell="E4" sqref="E4:E30"/>
    </sheetView>
  </sheetViews>
  <sheetFormatPr defaultColWidth="8.796875" defaultRowHeight="15.6" x14ac:dyDescent="0.3"/>
  <cols>
    <col min="1" max="2" width="2.19921875" customWidth="1"/>
    <col min="3" max="3" width="7.19921875" bestFit="1" customWidth="1"/>
    <col min="4" max="4" width="4.5" customWidth="1"/>
    <col min="5" max="5" width="11" bestFit="1" customWidth="1"/>
    <col min="7" max="7" width="15.5" bestFit="1" customWidth="1"/>
    <col min="8" max="8" width="16.5" bestFit="1" customWidth="1"/>
    <col min="9" max="9" width="15.5" bestFit="1" customWidth="1"/>
    <col min="10" max="10" width="17.796875" bestFit="1" customWidth="1"/>
    <col min="11" max="12" width="3.19921875" customWidth="1"/>
    <col min="13" max="14" width="3.296875" customWidth="1"/>
    <col min="17" max="17" width="18" bestFit="1" customWidth="1"/>
    <col min="18" max="18" width="16.796875" bestFit="1" customWidth="1"/>
    <col min="19" max="19" width="15.5" bestFit="1" customWidth="1"/>
    <col min="20" max="20" width="15.19921875" bestFit="1" customWidth="1"/>
  </cols>
  <sheetData>
    <row r="2" spans="3:22" x14ac:dyDescent="0.3">
      <c r="C2" s="62">
        <f>(((FUTURO!C17+1)^(1/12))-1)</f>
        <v>4.8675505653430484E-3</v>
      </c>
    </row>
    <row r="3" spans="3:22" x14ac:dyDescent="0.3">
      <c r="C3" s="63">
        <f>(((FUTURO!G8+1)^(1/12))-1)</f>
        <v>8.961505352517829E-3</v>
      </c>
      <c r="E3" s="65" t="s">
        <v>45</v>
      </c>
      <c r="F3" s="65" t="s">
        <v>36</v>
      </c>
      <c r="G3" t="s">
        <v>46</v>
      </c>
      <c r="H3" t="s">
        <v>47</v>
      </c>
      <c r="I3" t="s">
        <v>48</v>
      </c>
      <c r="J3" t="s">
        <v>49</v>
      </c>
      <c r="O3" s="65" t="s">
        <v>50</v>
      </c>
      <c r="P3" s="65" t="s">
        <v>45</v>
      </c>
      <c r="Q3" t="s">
        <v>51</v>
      </c>
      <c r="R3" t="s">
        <v>52</v>
      </c>
      <c r="S3" s="66" t="s">
        <v>53</v>
      </c>
      <c r="T3" s="66" t="s">
        <v>54</v>
      </c>
    </row>
    <row r="4" spans="3:22" x14ac:dyDescent="0.3">
      <c r="C4" s="62">
        <f>(((FUTURO!G11+1)^(1/12))-1)</f>
        <v>4.0741237836483535E-3</v>
      </c>
      <c r="E4" s="67">
        <f ca="1">Tabela1[[#This Row],[Ano]]+FUTURO!$M$11</f>
        <v>40.098630136986301</v>
      </c>
      <c r="F4" s="65">
        <v>0</v>
      </c>
      <c r="G4" s="68">
        <f>Tabela1[[#This Row],[TotalAcumulado]]-Tabela1[[#This Row],[Total Investido]]</f>
        <v>0</v>
      </c>
      <c r="H4" s="68">
        <f>FUTURO!$C$11</f>
        <v>388000</v>
      </c>
      <c r="I4" s="68">
        <f>Tabela1[[#This Row],[Juros]]</f>
        <v>0</v>
      </c>
      <c r="J4" s="68">
        <f>-FV(C3,Tabela1[[#This Row],[Ano]]*12,FUTURO!$C$14,FUTURO!$C$11,)</f>
        <v>388000</v>
      </c>
      <c r="O4" s="67">
        <f>0</f>
        <v>0</v>
      </c>
      <c r="P4" s="67">
        <f ca="1">Tabela4620[[#This Row],[ANO]]+FUTURO!$M$14</f>
        <v>45.098630136986301</v>
      </c>
      <c r="Q4" s="66">
        <f ca="1">FUTURO!$I$11</f>
        <v>2529609.3837177446</v>
      </c>
      <c r="R4" s="66">
        <f ca="1">FUTURO!$C$26*Tabela4620[[#This Row],[PL]]+(FUTURO!$C$32*12)</f>
        <v>281184.37534870976</v>
      </c>
      <c r="S4" s="64">
        <f>FUTURO!$C$38*12</f>
        <v>600000</v>
      </c>
      <c r="T4" s="66">
        <f>FUTURO!C38-V4</f>
        <v>50000</v>
      </c>
      <c r="V4" s="69"/>
    </row>
    <row r="5" spans="3:22" x14ac:dyDescent="0.3">
      <c r="E5" s="67">
        <f ca="1">Tabela1[[#This Row],[Ano]]+FUTURO!$M$11</f>
        <v>41.098630136986301</v>
      </c>
      <c r="F5" s="65">
        <f t="shared" ref="F5:F18" si="0">F4+1</f>
        <v>1</v>
      </c>
      <c r="G5" s="68">
        <f>Tabela1[[#This Row],[TotalAcumulado]]-Tabela1[[#This Row],[Total Investido]]</f>
        <v>62128.659401293378</v>
      </c>
      <c r="H5" s="68">
        <f>H4+(FUTURO!$C$14*12)</f>
        <v>748000</v>
      </c>
      <c r="I5" s="68">
        <f>Tabela1[[#This Row],[Juros]]</f>
        <v>62128.659401293378</v>
      </c>
      <c r="J5" s="68">
        <f>-FV(C3,Tabela1[[#This Row],[Ano]]*12,FUTURO!$C$14,FUTURO!$C$11,)</f>
        <v>810128.65940129338</v>
      </c>
      <c r="O5" s="67">
        <f t="shared" ref="O5:O54" si="1">1+O4</f>
        <v>1</v>
      </c>
      <c r="P5" s="67">
        <f ca="1">Tabela4620[[#This Row],[ANO]]+FUTURO!$M$14</f>
        <v>46.098630136986301</v>
      </c>
      <c r="Q5" s="66">
        <f ca="1">Q4+R4-S4</f>
        <v>2210793.7590664541</v>
      </c>
      <c r="R5" s="66">
        <f ca="1">FUTURO!$C$26*Tabela4620[[#This Row],[PL]]+(FUTURO!$C$32*12)</f>
        <v>268431.75036265817</v>
      </c>
      <c r="S5" s="64">
        <f>FUTURO!$C$38*12</f>
        <v>600000</v>
      </c>
      <c r="T5" s="66">
        <f>FUTURO!C38--V5</f>
        <v>50000</v>
      </c>
    </row>
    <row r="6" spans="3:22" x14ac:dyDescent="0.3">
      <c r="E6" s="67">
        <f ca="1">Tabela1[[#This Row],[Ano]]+FUTURO!$M$11</f>
        <v>42.098630136986301</v>
      </c>
      <c r="F6" s="65">
        <f t="shared" si="0"/>
        <v>2</v>
      </c>
      <c r="G6" s="68">
        <f>Tabela1[[#This Row],[TotalAcumulado]]-Tabela1[[#This Row],[Total Investido]]</f>
        <v>171957.85731493356</v>
      </c>
      <c r="H6" s="68">
        <f>H5+(FUTURO!$C$14*12)</f>
        <v>1108000</v>
      </c>
      <c r="I6" s="68">
        <f>Tabela1[[#This Row],[Juros]]</f>
        <v>171957.85731493356</v>
      </c>
      <c r="J6" s="68">
        <f>-FV(C3,Tabela1[[#This Row],[Ano]]*12,FUTURO!$C$14,FUTURO!$C$11,)</f>
        <v>1279957.8573149336</v>
      </c>
      <c r="O6" s="67">
        <f t="shared" si="1"/>
        <v>2</v>
      </c>
      <c r="P6" s="67">
        <f ca="1">Tabela4620[[#This Row],[ANO]]+FUTURO!$M$14</f>
        <v>47.098630136986301</v>
      </c>
      <c r="Q6" s="66">
        <f ca="1">Q5+R5-S5</f>
        <v>1879225.5094291121</v>
      </c>
      <c r="R6" s="66">
        <f ca="1">FUTURO!$C$26*Tabela4620[[#This Row],[PL]]+(FUTURO!$C$32*12)</f>
        <v>255169.02037716447</v>
      </c>
      <c r="S6" s="64">
        <f>FUTURO!$C$38*12</f>
        <v>600000</v>
      </c>
      <c r="T6" s="66">
        <f>FUTURO!C38-V6</f>
        <v>50000</v>
      </c>
    </row>
    <row r="7" spans="3:22" x14ac:dyDescent="0.3">
      <c r="E7" s="67">
        <f ca="1">Tabela1[[#This Row],[Ano]]+FUTURO!$M$11</f>
        <v>43.098630136986301</v>
      </c>
      <c r="F7" s="65">
        <f t="shared" si="0"/>
        <v>3</v>
      </c>
      <c r="G7" s="68">
        <f>Tabela1[[#This Row],[TotalAcumulado]]-Tabela1[[#This Row],[Total Investido]]</f>
        <v>334877.75459281681</v>
      </c>
      <c r="H7" s="68">
        <f>H6+(FUTURO!$C$14*12)</f>
        <v>1468000</v>
      </c>
      <c r="I7" s="68">
        <f>Tabela1[[#This Row],[Juros]]</f>
        <v>334877.75459281681</v>
      </c>
      <c r="J7" s="68">
        <f>-FV(C3,Tabela1[[#This Row],[Ano]]*12,FUTURO!$C$14,FUTURO!$C$11,)</f>
        <v>1802877.7545928168</v>
      </c>
      <c r="O7" s="67">
        <f t="shared" si="1"/>
        <v>3</v>
      </c>
      <c r="P7" s="67">
        <f ca="1">Tabela4620[[#This Row],[ANO]]+FUTURO!$M$14</f>
        <v>48.098630136986301</v>
      </c>
      <c r="Q7" s="66">
        <f ca="1">Q6+R6-S6</f>
        <v>1534394.5298062768</v>
      </c>
      <c r="R7" s="66">
        <f ca="1">FUTURO!$C$26*Tabela4620[[#This Row],[PL]]+(FUTURO!$C$32*12)</f>
        <v>241375.78119225107</v>
      </c>
      <c r="S7" s="64">
        <f>FUTURO!$C$38*12</f>
        <v>600000</v>
      </c>
      <c r="T7" s="66">
        <f>FUTURO!C38-V7</f>
        <v>50000</v>
      </c>
    </row>
    <row r="8" spans="3:22" x14ac:dyDescent="0.3">
      <c r="E8" s="67">
        <f ca="1">Tabela1[[#This Row],[Ano]]+FUTURO!$M$11</f>
        <v>44.098630136986301</v>
      </c>
      <c r="F8" s="65">
        <f t="shared" si="0"/>
        <v>4</v>
      </c>
      <c r="G8" s="68">
        <f>Tabela1[[#This Row],[TotalAcumulado]]-Tabela1[[#This Row],[Total Investido]]</f>
        <v>556887.60026310245</v>
      </c>
      <c r="H8" s="68">
        <f>H7+(FUTURO!$C$14*12)</f>
        <v>1828000</v>
      </c>
      <c r="I8" s="68">
        <f>Tabela1[[#This Row],[Juros]]</f>
        <v>556887.60026310245</v>
      </c>
      <c r="J8" s="68">
        <f>-FV(C3,Tabela1[[#This Row],[Ano]]*12,FUTURO!$C$14,FUTURO!$C$11,)</f>
        <v>2384887.6002631024</v>
      </c>
      <c r="O8" s="67">
        <f t="shared" si="1"/>
        <v>4</v>
      </c>
      <c r="P8" s="67">
        <f ca="1">Tabela4620[[#This Row],[ANO]]+FUTURO!$M$14</f>
        <v>49.098630136986301</v>
      </c>
      <c r="Q8" s="66">
        <f t="shared" ref="Q8:Q54" ca="1" si="2">Q7+R7-S7</f>
        <v>1175770.3109985278</v>
      </c>
      <c r="R8" s="66">
        <f ca="1">FUTURO!$C$26*Tabela4620[[#This Row],[PL]]+(FUTURO!$C$32*12)</f>
        <v>227030.8124399411</v>
      </c>
      <c r="S8" s="64">
        <f>FUTURO!$C$38*12</f>
        <v>600000</v>
      </c>
      <c r="T8" s="66">
        <f>FUTURO!C38-V8</f>
        <v>50000</v>
      </c>
    </row>
    <row r="9" spans="3:22" x14ac:dyDescent="0.3">
      <c r="E9" s="67">
        <f ca="1">Tabela1[[#This Row],[Ano]]+FUTURO!$M$11</f>
        <v>45.098630136986301</v>
      </c>
      <c r="F9" s="65">
        <f t="shared" si="0"/>
        <v>5</v>
      </c>
      <c r="G9" s="68">
        <f>Tabela1[[#This Row],[TotalAcumulado]]-Tabela1[[#This Row],[Total Investido]]</f>
        <v>844664.55849413062</v>
      </c>
      <c r="H9" s="68">
        <f>H8+(FUTURO!$C$14*12)</f>
        <v>2188000</v>
      </c>
      <c r="I9" s="68">
        <f>Tabela1[[#This Row],[Juros]]</f>
        <v>844664.55849413062</v>
      </c>
      <c r="J9" s="68">
        <f>-FV(C3,Tabela1[[#This Row],[Ano]]*12,FUTURO!$C$14,FUTURO!$C$11,)</f>
        <v>3032664.5584941306</v>
      </c>
      <c r="O9" s="67">
        <f t="shared" si="1"/>
        <v>5</v>
      </c>
      <c r="P9" s="67">
        <f ca="1">Tabela4620[[#This Row],[ANO]]+FUTURO!$M$14</f>
        <v>50.098630136986301</v>
      </c>
      <c r="Q9" s="66">
        <f t="shared" ca="1" si="2"/>
        <v>802801.1234384689</v>
      </c>
      <c r="R9" s="66">
        <f ca="1">FUTURO!$C$26*Tabela4620[[#This Row],[PL]]+(FUTURO!$C$32*12)</f>
        <v>212112.04493753877</v>
      </c>
      <c r="S9" s="64">
        <f>FUTURO!$C$38*12</f>
        <v>600000</v>
      </c>
      <c r="T9" s="66">
        <f>FUTURO!C38-V9</f>
        <v>50000</v>
      </c>
    </row>
    <row r="10" spans="3:22" x14ac:dyDescent="0.3">
      <c r="E10" s="67">
        <f ca="1">Tabela1[[#This Row],[Ano]]+FUTURO!$M$11</f>
        <v>46.098630136986301</v>
      </c>
      <c r="F10" s="65">
        <f t="shared" si="0"/>
        <v>6</v>
      </c>
      <c r="G10" s="68">
        <f>Tabela1[[#This Row],[TotalAcumulado]]-Tabela1[[#This Row],[Total Investido]]</f>
        <v>1205640.3130052672</v>
      </c>
      <c r="H10" s="68">
        <f>H9+(FUTURO!$C$14*12)</f>
        <v>2548000</v>
      </c>
      <c r="I10" s="68">
        <f>Tabela1[[#This Row],[Juros]]</f>
        <v>1205640.3130052672</v>
      </c>
      <c r="J10" s="68">
        <f>-FV(C3,Tabela1[[#This Row],[Ano]]*12,FUTURO!$C$14,FUTURO!$C$11,)</f>
        <v>3753640.3130052672</v>
      </c>
      <c r="O10" s="67">
        <f t="shared" si="1"/>
        <v>6</v>
      </c>
      <c r="P10" s="67">
        <f ca="1">Tabela4620[[#This Row],[ANO]]+FUTURO!$M$14</f>
        <v>51.098630136986301</v>
      </c>
      <c r="Q10" s="66">
        <f t="shared" ca="1" si="2"/>
        <v>414913.1683760077</v>
      </c>
      <c r="R10" s="66">
        <f ca="1">FUTURO!$C$26*Tabela4620[[#This Row],[PL]]+(FUTURO!$C$32*12)</f>
        <v>196596.5267350403</v>
      </c>
      <c r="S10" s="64">
        <f>FUTURO!$C$38*12</f>
        <v>600000</v>
      </c>
      <c r="T10" s="66">
        <f>FUTURO!C38-V10</f>
        <v>50000</v>
      </c>
    </row>
    <row r="11" spans="3:22" x14ac:dyDescent="0.3">
      <c r="E11" s="67">
        <f ca="1">Tabela1[[#This Row],[Ano]]+FUTURO!$M$11</f>
        <v>47.098630136986301</v>
      </c>
      <c r="F11" s="65">
        <f t="shared" si="0"/>
        <v>7</v>
      </c>
      <c r="G11" s="68">
        <f>Tabela1[[#This Row],[TotalAcumulado]]-Tabela1[[#This Row],[Total Investido]]</f>
        <v>1648086.3277761629</v>
      </c>
      <c r="H11" s="68">
        <f>H10+(FUTURO!$C$14*12)</f>
        <v>2908000</v>
      </c>
      <c r="I11" s="68">
        <f>Tabela1[[#This Row],[Juros]]</f>
        <v>1648086.3277761629</v>
      </c>
      <c r="J11" s="68">
        <f>-FV(C3,Tabela1[[#This Row],[Ano]]*12,FUTURO!$C$14,FUTURO!$C$11,)</f>
        <v>4556086.3277761629</v>
      </c>
      <c r="O11" s="67">
        <f t="shared" si="1"/>
        <v>7</v>
      </c>
      <c r="P11" s="67">
        <f ca="1">Tabela4620[[#This Row],[ANO]]+FUTURO!$M$14</f>
        <v>52.098630136986301</v>
      </c>
      <c r="Q11" s="66">
        <f t="shared" ca="1" si="2"/>
        <v>11509.695111047942</v>
      </c>
      <c r="R11" s="66">
        <f ca="1">FUTURO!$C$26*Tabela4620[[#This Row],[PL]]+(FUTURO!$C$32*12)</f>
        <v>180460.38780444191</v>
      </c>
      <c r="S11" s="64">
        <f>FUTURO!$C$38*12</f>
        <v>600000</v>
      </c>
      <c r="T11" s="66">
        <f>FUTURO!C38-V11</f>
        <v>50000</v>
      </c>
    </row>
    <row r="12" spans="3:22" x14ac:dyDescent="0.3">
      <c r="E12" s="67">
        <f ca="1">Tabela1[[#This Row],[Ano]]+FUTURO!$M$11</f>
        <v>48.098630136986301</v>
      </c>
      <c r="F12" s="65">
        <f t="shared" si="0"/>
        <v>8</v>
      </c>
      <c r="G12" s="68">
        <f>Tabela1[[#This Row],[TotalAcumulado]]-Tabela1[[#This Row],[Total Investido]]</f>
        <v>2181208.7422161736</v>
      </c>
      <c r="H12" s="68">
        <f>H11+(FUTURO!$C$14*12)</f>
        <v>3268000</v>
      </c>
      <c r="I12" s="68">
        <f>Tabela1[[#This Row],[Juros]]</f>
        <v>2181208.7422161736</v>
      </c>
      <c r="J12" s="68">
        <f>-FV(C3,Tabela1[[#This Row],[Ano]]*12,FUTURO!$C$14,FUTURO!$C$11,)</f>
        <v>5449208.7422161736</v>
      </c>
      <c r="O12" s="67">
        <f t="shared" si="1"/>
        <v>8</v>
      </c>
      <c r="P12" s="67">
        <f ca="1">Tabela4620[[#This Row],[ANO]]+FUTURO!$M$14</f>
        <v>53.098630136986301</v>
      </c>
      <c r="Q12" s="66">
        <f t="shared" ca="1" si="2"/>
        <v>-408029.91708451015</v>
      </c>
      <c r="R12" s="66">
        <f ca="1">FUTURO!$C$26*Tabela4620[[#This Row],[PL]]+(FUTURO!$C$32*12)</f>
        <v>163678.8033166196</v>
      </c>
      <c r="S12" s="64">
        <f>FUTURO!$C$38*12</f>
        <v>600000</v>
      </c>
      <c r="T12" s="66">
        <f>FUTURO!C38-V12</f>
        <v>50000</v>
      </c>
    </row>
    <row r="13" spans="3:22" x14ac:dyDescent="0.3">
      <c r="E13" s="67">
        <f ca="1">Tabela1[[#This Row],[Ano]]+FUTURO!$M$11</f>
        <v>49.098630136986301</v>
      </c>
      <c r="F13" s="65">
        <f t="shared" si="0"/>
        <v>9</v>
      </c>
      <c r="G13" s="68">
        <f>Tabela1[[#This Row],[TotalAcumulado]]-Tabela1[[#This Row],[Total Investido]]</f>
        <v>2815253.9894879051</v>
      </c>
      <c r="H13" s="68">
        <f>H12+(FUTURO!$C$14*12)</f>
        <v>3628000</v>
      </c>
      <c r="I13" s="68">
        <f>Tabela1[[#This Row],[Juros]]</f>
        <v>2815253.9894879051</v>
      </c>
      <c r="J13" s="68">
        <f>-FV(C3,Tabela1[[#This Row],[Ano]]*12,FUTURO!$C$14,FUTURO!$C$11,)</f>
        <v>6443253.9894879051</v>
      </c>
      <c r="O13" s="67">
        <f t="shared" si="1"/>
        <v>9</v>
      </c>
      <c r="P13" s="67">
        <f ca="1">Tabela4620[[#This Row],[ANO]]+FUTURO!$M$14</f>
        <v>54.098630136986301</v>
      </c>
      <c r="Q13" s="66">
        <f t="shared" ca="1" si="2"/>
        <v>-844351.11376789049</v>
      </c>
      <c r="R13" s="66">
        <f ca="1">FUTURO!$C$26*Tabela4620[[#This Row],[PL]]+(FUTURO!$C$32*12)</f>
        <v>146225.95544928437</v>
      </c>
      <c r="S13" s="64">
        <f>FUTURO!$C$38*12</f>
        <v>600000</v>
      </c>
      <c r="T13" s="66">
        <f>FUTURO!C38-V13</f>
        <v>50000</v>
      </c>
    </row>
    <row r="14" spans="3:22" x14ac:dyDescent="0.3">
      <c r="E14" s="67">
        <f ca="1">Tabela1[[#This Row],[Ano]]+FUTURO!$M$11</f>
        <v>50.098630136986301</v>
      </c>
      <c r="F14" s="65">
        <f t="shared" si="0"/>
        <v>10</v>
      </c>
      <c r="G14" s="68">
        <f>Tabela1[[#This Row],[TotalAcumulado]]-Tabela1[[#This Row],[Total Investido]]</f>
        <v>3561626.349701345</v>
      </c>
      <c r="H14" s="68">
        <f>H13+(FUTURO!$C$14*12)</f>
        <v>3988000</v>
      </c>
      <c r="I14" s="68">
        <f>Tabela1[[#This Row],[Juros]]</f>
        <v>3561626.349701345</v>
      </c>
      <c r="J14" s="68">
        <f>-FV(C3,Tabela1[[#This Row],[Ano]]*12,FUTURO!$C$14,FUTURO!$C$11,)</f>
        <v>7549626.349701345</v>
      </c>
      <c r="O14" s="67">
        <f t="shared" si="1"/>
        <v>10</v>
      </c>
      <c r="P14" s="67">
        <f ca="1">Tabela4620[[#This Row],[ANO]]+FUTURO!$M$14</f>
        <v>55.098630136986301</v>
      </c>
      <c r="Q14" s="66">
        <f t="shared" ca="1" si="2"/>
        <v>-1298125.1583186062</v>
      </c>
      <c r="R14" s="66">
        <f ca="1">FUTURO!$C$26*Tabela4620[[#This Row],[PL]]+(FUTURO!$C$32*12)</f>
        <v>128074.99366725575</v>
      </c>
      <c r="S14" s="64">
        <f>FUTURO!$C$38*12</f>
        <v>600000</v>
      </c>
      <c r="T14" s="66">
        <f>FUTURO!C38-V14</f>
        <v>50000</v>
      </c>
    </row>
    <row r="15" spans="3:22" x14ac:dyDescent="0.3">
      <c r="E15" s="67">
        <f ca="1">Tabela1[[#This Row],[Ano]]+FUTURO!$M$11</f>
        <v>51.098630136986301</v>
      </c>
      <c r="F15" s="65">
        <f t="shared" si="0"/>
        <v>11</v>
      </c>
      <c r="G15" s="68">
        <f>Tabela1[[#This Row],[TotalAcumulado]]-Tabela1[[#This Row],[Total Investido]]</f>
        <v>4433018.786618907</v>
      </c>
      <c r="H15" s="68">
        <f>H14+(FUTURO!$C$14*12)</f>
        <v>4348000</v>
      </c>
      <c r="I15" s="68">
        <f>Tabela1[[#This Row],[Juros]]</f>
        <v>4433018.786618907</v>
      </c>
      <c r="J15" s="68">
        <f>-FV(C3,Tabela1[[#This Row],[Ano]]*12,FUTURO!$C$14,FUTURO!$C$11,)</f>
        <v>8781018.786618907</v>
      </c>
      <c r="O15" s="67">
        <f t="shared" si="1"/>
        <v>11</v>
      </c>
      <c r="P15" s="67">
        <f ca="1">Tabela4620[[#This Row],[ANO]]+FUTURO!$M$14</f>
        <v>56.098630136986301</v>
      </c>
      <c r="Q15" s="66">
        <f t="shared" ca="1" si="2"/>
        <v>-1770050.1646513504</v>
      </c>
      <c r="R15" s="66">
        <f ca="1">FUTURO!$C$26*Tabela4620[[#This Row],[PL]]+(FUTURO!$C$32*12)</f>
        <v>109197.99341394598</v>
      </c>
      <c r="S15" s="64">
        <f>FUTURO!$C$38*12</f>
        <v>600000</v>
      </c>
      <c r="T15" s="66">
        <f>FUTURO!C38-V15</f>
        <v>50000</v>
      </c>
    </row>
    <row r="16" spans="3:22" x14ac:dyDescent="0.3">
      <c r="E16" s="67">
        <f ca="1">Tabela1[[#This Row],[Ano]]+FUTURO!$M$11</f>
        <v>52.098630136986301</v>
      </c>
      <c r="F16" s="65">
        <f t="shared" si="0"/>
        <v>12</v>
      </c>
      <c r="G16" s="68">
        <f>Tabela1[[#This Row],[TotalAcumulado]]-Tabela1[[#This Row],[Total Investido]]</f>
        <v>5443558.5689081587</v>
      </c>
      <c r="H16" s="68">
        <f>H15+(FUTURO!$C$14*12)</f>
        <v>4708000</v>
      </c>
      <c r="I16" s="68">
        <f>Tabela1[[#This Row],[Juros]]</f>
        <v>5443558.5689081587</v>
      </c>
      <c r="J16" s="68">
        <f>-FV(C3,Tabela1[[#This Row],[Ano]]*12,FUTURO!$C$14,FUTURO!$C$11,)</f>
        <v>10151558.568908159</v>
      </c>
      <c r="O16" s="67">
        <f t="shared" si="1"/>
        <v>12</v>
      </c>
      <c r="P16" s="67">
        <f ca="1">Tabela4620[[#This Row],[ANO]]+FUTURO!$M$14</f>
        <v>57.098630136986301</v>
      </c>
      <c r="Q16" s="66">
        <f t="shared" ca="1" si="2"/>
        <v>-2260852.1712374045</v>
      </c>
      <c r="R16" s="66">
        <f ca="1">FUTURO!$C$26*Tabela4620[[#This Row],[PL]]+(FUTURO!$C$32*12)</f>
        <v>89565.913150503824</v>
      </c>
      <c r="S16" s="64">
        <f>FUTURO!$C$38*12</f>
        <v>600000</v>
      </c>
      <c r="T16" s="66">
        <f>FUTURO!C38-V16</f>
        <v>50000</v>
      </c>
    </row>
    <row r="17" spans="5:20" x14ac:dyDescent="0.3">
      <c r="E17" s="67">
        <f ca="1">Tabela1[[#This Row],[Ano]]+FUTURO!$M$11</f>
        <v>53.098630136986301</v>
      </c>
      <c r="F17" s="65">
        <f t="shared" si="0"/>
        <v>13</v>
      </c>
      <c r="G17" s="68">
        <f>Tabela1[[#This Row],[TotalAcumulado]]-Tabela1[[#This Row],[Total Investido]]</f>
        <v>6608969.3465960957</v>
      </c>
      <c r="H17" s="68">
        <f>H16+(FUTURO!$C$14*12)</f>
        <v>5068000</v>
      </c>
      <c r="I17" s="68">
        <f>Tabela1[[#This Row],[Juros]]</f>
        <v>6608969.3465960957</v>
      </c>
      <c r="J17" s="68">
        <f>-FV(C3,Tabela1[[#This Row],[Ano]]*12,FUTURO!$C$14,FUTURO!$C$11,)</f>
        <v>11676969.346596096</v>
      </c>
      <c r="O17" s="67">
        <f t="shared" si="1"/>
        <v>13</v>
      </c>
      <c r="P17" s="67">
        <f ca="1">Tabela4620[[#This Row],[ANO]]+FUTURO!$M$14</f>
        <v>58.098630136986301</v>
      </c>
      <c r="Q17" s="66">
        <f t="shared" ca="1" si="2"/>
        <v>-2771286.2580869007</v>
      </c>
      <c r="R17" s="66">
        <f ca="1">FUTURO!$C$26*Tabela4620[[#This Row],[PL]]+(FUTURO!$C$32*12)</f>
        <v>69148.549676523966</v>
      </c>
      <c r="S17" s="64">
        <f>FUTURO!$C$38*12</f>
        <v>600000</v>
      </c>
      <c r="T17" s="66">
        <f>FUTURO!C38-V17</f>
        <v>50000</v>
      </c>
    </row>
    <row r="18" spans="5:20" x14ac:dyDescent="0.3">
      <c r="E18" s="67">
        <f ca="1">Tabela1[[#This Row],[Ano]]+FUTURO!$M$11</f>
        <v>54.098630136986301</v>
      </c>
      <c r="F18" s="65">
        <f t="shared" si="0"/>
        <v>14</v>
      </c>
      <c r="G18" s="68">
        <f>Tabela1[[#This Row],[TotalAcumulado]]-Tabela1[[#This Row],[Total Investido]]</f>
        <v>7946751.5421627741</v>
      </c>
      <c r="H18" s="68">
        <f>H17+(FUTURO!$C$14*12)</f>
        <v>5428000</v>
      </c>
      <c r="I18" s="68">
        <f>Tabela1[[#This Row],[Juros]]</f>
        <v>7946751.5421627741</v>
      </c>
      <c r="J18" s="68">
        <f>-FV(C3,Tabela1[[#This Row],[Ano]]*12,FUTURO!$C$14,FUTURO!$C$11,)</f>
        <v>13374751.542162774</v>
      </c>
      <c r="O18" s="67">
        <f t="shared" si="1"/>
        <v>14</v>
      </c>
      <c r="P18" s="67">
        <f ca="1">Tabela4620[[#This Row],[ANO]]+FUTURO!$M$14</f>
        <v>59.098630136986301</v>
      </c>
      <c r="Q18" s="66">
        <f t="shared" ca="1" si="2"/>
        <v>-3302137.7084103767</v>
      </c>
      <c r="R18" s="66">
        <f ca="1">FUTURO!$C$26*Tabela4620[[#This Row],[PL]]+(FUTURO!$C$32*12)</f>
        <v>47914.491663584922</v>
      </c>
      <c r="S18" s="64">
        <f>FUTURO!$C$38*12</f>
        <v>600000</v>
      </c>
      <c r="T18" s="66">
        <f>FUTURO!C38-V18</f>
        <v>50000</v>
      </c>
    </row>
    <row r="19" spans="5:20" x14ac:dyDescent="0.3">
      <c r="E19" s="67">
        <f ca="1">Tabela1[[#This Row],[Ano]]+FUTURO!$M$11</f>
        <v>55.098630136986301</v>
      </c>
      <c r="F19" s="65">
        <f t="shared" ref="F19:F30" si="3">F18+1</f>
        <v>15</v>
      </c>
      <c r="G19" s="68">
        <f>Tabela1[[#This Row],[TotalAcumulado]]-Tabela1[[#This Row],[Total Investido]]</f>
        <v>9476383.1258284897</v>
      </c>
      <c r="H19" s="68">
        <f>H18+(FUTURO!$C$14*12)</f>
        <v>5788000</v>
      </c>
      <c r="I19" s="68">
        <f>Tabela1[[#This Row],[Juros]]</f>
        <v>9476383.1258284897</v>
      </c>
      <c r="J19" s="68">
        <f>-FV(C3,Tabela1[[#This Row],[Ano]]*12,FUTURO!$C$14,FUTURO!$C$11,)</f>
        <v>15264383.12582849</v>
      </c>
      <c r="O19" s="67">
        <f t="shared" si="1"/>
        <v>15</v>
      </c>
      <c r="P19" s="67">
        <f ca="1">Tabela4620[[#This Row],[ANO]]+FUTURO!$M$14</f>
        <v>60.098630136986301</v>
      </c>
      <c r="Q19" s="66">
        <f t="shared" ca="1" si="2"/>
        <v>-3854223.2167467917</v>
      </c>
      <c r="R19" s="66">
        <f ca="1">FUTURO!$C$26*Tabela4620[[#This Row],[PL]]+(FUTURO!$C$32*12)</f>
        <v>25831.071330128325</v>
      </c>
      <c r="S19" s="64">
        <f>FUTURO!$C$38*12</f>
        <v>600000</v>
      </c>
      <c r="T19" s="66">
        <f>FUTURO!C38-V19</f>
        <v>50000</v>
      </c>
    </row>
    <row r="20" spans="5:20" x14ac:dyDescent="0.3">
      <c r="E20" s="67">
        <f ca="1">Tabela1[[#This Row],[Ano]]+FUTURO!$M$11</f>
        <v>56.098630136986301</v>
      </c>
      <c r="F20" s="65">
        <f t="shared" si="3"/>
        <v>16</v>
      </c>
      <c r="G20" s="68">
        <f>Tabela1[[#This Row],[TotalAcumulado]]-Tabela1[[#This Row],[Total Investido]]</f>
        <v>11219543.078448437</v>
      </c>
      <c r="H20" s="68">
        <f>H19+(FUTURO!$C$14*12)</f>
        <v>6148000</v>
      </c>
      <c r="I20" s="68">
        <f>Tabela1[[#This Row],[Juros]]</f>
        <v>11219543.078448437</v>
      </c>
      <c r="J20" s="68">
        <f>-FV(C3,Tabela1[[#This Row],[Ano]]*12,FUTURO!$C$14,FUTURO!$C$11,)</f>
        <v>17367543.078448437</v>
      </c>
      <c r="O20" s="67">
        <f t="shared" si="1"/>
        <v>16</v>
      </c>
      <c r="P20" s="67">
        <f ca="1">Tabela4620[[#This Row],[ANO]]+FUTURO!$M$14</f>
        <v>61.098630136986301</v>
      </c>
      <c r="Q20" s="66">
        <f t="shared" ca="1" si="2"/>
        <v>-4428392.145416664</v>
      </c>
      <c r="R20" s="66">
        <f ca="1">FUTURO!$C$26*Tabela4620[[#This Row],[PL]]+(FUTURO!$C$32*12)</f>
        <v>2864.3141833334521</v>
      </c>
      <c r="S20" s="64">
        <f>FUTURO!$C$38*12</f>
        <v>600000</v>
      </c>
      <c r="T20" s="66">
        <f>FUTURO!C38-V20</f>
        <v>50000</v>
      </c>
    </row>
    <row r="21" spans="5:20" x14ac:dyDescent="0.3">
      <c r="E21" s="67">
        <f ca="1">Tabela1[[#This Row],[Ano]]+FUTURO!$M$11</f>
        <v>57.098630136986301</v>
      </c>
      <c r="F21" s="65">
        <f t="shared" si="3"/>
        <v>17</v>
      </c>
      <c r="G21" s="68">
        <f>Tabela1[[#This Row],[TotalAcumulado]]-Tabela1[[#This Row],[Total Investido]]</f>
        <v>13200360.10571444</v>
      </c>
      <c r="H21" s="68">
        <f>H20+(FUTURO!$C$14*12)</f>
        <v>6508000</v>
      </c>
      <c r="I21" s="68">
        <f>Tabela1[[#This Row],[Juros]]</f>
        <v>13200360.10571444</v>
      </c>
      <c r="J21" s="68">
        <f>-FV(C3,Tabela1[[#This Row],[Ano]]*12,FUTURO!$C$14,FUTURO!$C$11,)</f>
        <v>19708360.10571444</v>
      </c>
      <c r="O21" s="67">
        <f t="shared" si="1"/>
        <v>17</v>
      </c>
      <c r="P21" s="67">
        <f ca="1">Tabela4620[[#This Row],[ANO]]+FUTURO!$M$14</f>
        <v>62.098630136986301</v>
      </c>
      <c r="Q21" s="66">
        <f t="shared" ca="1" si="2"/>
        <v>-5025527.8312333301</v>
      </c>
      <c r="R21" s="66">
        <f ca="1">FUTURO!$C$26*Tabela4620[[#This Row],[PL]]+(FUTURO!$C$32*12)</f>
        <v>-21021.113249333197</v>
      </c>
      <c r="S21" s="64">
        <f>FUTURO!$C$38*12</f>
        <v>600000</v>
      </c>
      <c r="T21" s="66">
        <f>FUTURO!C38-V21</f>
        <v>50000</v>
      </c>
    </row>
    <row r="22" spans="5:20" x14ac:dyDescent="0.3">
      <c r="E22" s="67">
        <f ca="1">Tabela1[[#This Row],[Ano]]+FUTURO!$M$11</f>
        <v>58.098630136986301</v>
      </c>
      <c r="F22" s="65">
        <f t="shared" si="3"/>
        <v>18</v>
      </c>
      <c r="G22" s="68">
        <f>Tabela1[[#This Row],[TotalAcumulado]]-Tabela1[[#This Row],[Total Investido]]</f>
        <v>15445689.457061507</v>
      </c>
      <c r="H22" s="68">
        <f>H21+(FUTURO!$C$14*12)</f>
        <v>6868000</v>
      </c>
      <c r="I22" s="68">
        <f>Tabela1[[#This Row],[Juros]]</f>
        <v>15445689.457061507</v>
      </c>
      <c r="J22" s="68">
        <f>-FV(C3,Tabela1[[#This Row],[Ano]]*12,FUTURO!$C$14,FUTURO!$C$11,)</f>
        <v>22313689.457061507</v>
      </c>
      <c r="O22" s="67">
        <f t="shared" si="1"/>
        <v>18</v>
      </c>
      <c r="P22" s="67">
        <f ca="1">Tabela4620[[#This Row],[ANO]]+FUTURO!$M$14</f>
        <v>63.098630136986301</v>
      </c>
      <c r="Q22" s="66">
        <f t="shared" ca="1" si="2"/>
        <v>-5646548.9444826636</v>
      </c>
      <c r="R22" s="66">
        <f ca="1">FUTURO!$C$26*Tabela4620[[#This Row],[PL]]+(FUTURO!$C$32*12)</f>
        <v>-45861.95777930654</v>
      </c>
      <c r="S22" s="64">
        <f>FUTURO!$C$38*12</f>
        <v>600000</v>
      </c>
      <c r="T22" s="66">
        <f>FUTURO!C38-V22</f>
        <v>50000</v>
      </c>
    </row>
    <row r="23" spans="5:20" x14ac:dyDescent="0.3">
      <c r="E23" s="67">
        <f ca="1">Tabela1[[#This Row],[Ano]]+FUTURO!$M$11</f>
        <v>59.098630136986301</v>
      </c>
      <c r="F23" s="65">
        <f t="shared" si="3"/>
        <v>19</v>
      </c>
      <c r="G23" s="68">
        <f>Tabela1[[#This Row],[TotalAcumulado]]-Tabela1[[#This Row],[Total Investido]]</f>
        <v>17985421.025110804</v>
      </c>
      <c r="H23" s="68">
        <f>H22+(FUTURO!$C$14*12)</f>
        <v>7228000</v>
      </c>
      <c r="I23" s="68">
        <f>Tabela1[[#This Row],[Juros]]</f>
        <v>17985421.025110804</v>
      </c>
      <c r="J23" s="68">
        <f>-FV(C3,Tabela1[[#This Row],[Ano]]*12,FUTURO!$C$14,FUTURO!$C$11,)</f>
        <v>25213421.025110804</v>
      </c>
      <c r="O23" s="67">
        <f t="shared" si="1"/>
        <v>19</v>
      </c>
      <c r="P23" s="67">
        <f ca="1">Tabela4620[[#This Row],[ANO]]+FUTURO!$M$14</f>
        <v>64.098630136986301</v>
      </c>
      <c r="Q23" s="66">
        <f t="shared" ca="1" si="2"/>
        <v>-6292410.9022619706</v>
      </c>
      <c r="R23" s="66">
        <f ca="1">FUTURO!$C$26*Tabela4620[[#This Row],[PL]]+(FUTURO!$C$32*12)</f>
        <v>-71696.436090478819</v>
      </c>
      <c r="S23" s="64">
        <f>FUTURO!$C$38*12</f>
        <v>600000</v>
      </c>
      <c r="T23" s="66">
        <f>FUTURO!C38-V23</f>
        <v>50000</v>
      </c>
    </row>
    <row r="24" spans="5:20" x14ac:dyDescent="0.3">
      <c r="E24" s="67">
        <f ca="1">Tabela1[[#This Row],[Ano]]+FUTURO!$M$11</f>
        <v>60.098630136986301</v>
      </c>
      <c r="F24" s="65">
        <f t="shared" si="3"/>
        <v>20</v>
      </c>
      <c r="G24" s="68">
        <f>Tabela1[[#This Row],[TotalAcumulado]]-Tabela1[[#This Row],[Total Investido]]</f>
        <v>20852822.260349676</v>
      </c>
      <c r="H24" s="68">
        <f>H23+(FUTURO!$C$14*12)</f>
        <v>7588000</v>
      </c>
      <c r="I24" s="68">
        <f>Tabela1[[#This Row],[Juros]]</f>
        <v>20852822.260349676</v>
      </c>
      <c r="J24" s="68">
        <f>-FV(C3,Tabela1[[#This Row],[Ano]]*12,FUTURO!$C$14,FUTURO!$C$11,)</f>
        <v>28440822.260349676</v>
      </c>
      <c r="O24" s="67">
        <f t="shared" si="1"/>
        <v>20</v>
      </c>
      <c r="P24" s="67">
        <f ca="1">Tabela4620[[#This Row],[ANO]]+FUTURO!$M$14</f>
        <v>65.098630136986301</v>
      </c>
      <c r="Q24" s="66">
        <f t="shared" ca="1" si="2"/>
        <v>-6964107.3383524492</v>
      </c>
      <c r="R24" s="66">
        <f ca="1">FUTURO!$C$26*Tabela4620[[#This Row],[PL]]+(FUTURO!$C$32*12)</f>
        <v>-98564.29353409796</v>
      </c>
      <c r="S24" s="64">
        <f>FUTURO!$C$38*12</f>
        <v>600000</v>
      </c>
      <c r="T24" s="66">
        <f>FUTURO!C38-V24</f>
        <v>50000</v>
      </c>
    </row>
    <row r="25" spans="5:20" x14ac:dyDescent="0.3">
      <c r="E25" s="67">
        <f ca="1">Tabela1[[#This Row],[Ano]]+FUTURO!$M$11</f>
        <v>61.098630136986301</v>
      </c>
      <c r="F25" s="65">
        <f t="shared" si="3"/>
        <v>21</v>
      </c>
      <c r="G25" s="68">
        <f>Tabela1[[#This Row],[TotalAcumulado]]-Tabela1[[#This Row],[Total Investido]]</f>
        <v>24084919.835170545</v>
      </c>
      <c r="H25" s="68">
        <f>H24+(FUTURO!$C$14*12)</f>
        <v>7948000</v>
      </c>
      <c r="I25" s="68">
        <f>Tabela1[[#This Row],[Juros]]</f>
        <v>24084919.835170545</v>
      </c>
      <c r="J25" s="68">
        <f>-FV(C3,Tabela1[[#This Row],[Ano]]*12,FUTURO!$C$14,FUTURO!$C$11,)</f>
        <v>32032919.835170545</v>
      </c>
      <c r="O25" s="67">
        <f t="shared" si="1"/>
        <v>21</v>
      </c>
      <c r="P25" s="67">
        <f ca="1">Tabela4620[[#This Row],[ANO]]+FUTURO!$M$14</f>
        <v>66.098630136986301</v>
      </c>
      <c r="Q25" s="66">
        <f t="shared" ca="1" si="2"/>
        <v>-7662671.6318865474</v>
      </c>
      <c r="R25" s="66">
        <f ca="1">FUTURO!$C$26*Tabela4620[[#This Row],[PL]]+(FUTURO!$C$32*12)</f>
        <v>-126506.86527546193</v>
      </c>
      <c r="S25" s="64">
        <f>FUTURO!$C$38*12</f>
        <v>600000</v>
      </c>
      <c r="T25" s="66">
        <f>FUTURO!C38-V25</f>
        <v>50000</v>
      </c>
    </row>
    <row r="26" spans="5:20" x14ac:dyDescent="0.3">
      <c r="E26" s="67">
        <f ca="1">Tabela1[[#This Row],[Ano]]+FUTURO!$M$11</f>
        <v>62.098630136986301</v>
      </c>
      <c r="F26" s="65">
        <f t="shared" si="3"/>
        <v>22</v>
      </c>
      <c r="G26" s="68">
        <f>Tabela1[[#This Row],[TotalAcumulado]]-Tabela1[[#This Row],[Total Investido]]</f>
        <v>27722924.435946189</v>
      </c>
      <c r="H26" s="68">
        <f>H25+(FUTURO!$C$14*12)</f>
        <v>8308000</v>
      </c>
      <c r="I26" s="68">
        <f>Tabela1[[#This Row],[Juros]]</f>
        <v>27722924.435946189</v>
      </c>
      <c r="J26" s="68">
        <f>-FV(C3,Tabela1[[#This Row],[Ano]]*12,FUTURO!$C$14,FUTURO!$C$11,)</f>
        <v>36030924.435946189</v>
      </c>
      <c r="O26" s="67">
        <f t="shared" si="1"/>
        <v>22</v>
      </c>
      <c r="P26" s="67">
        <f ca="1">Tabela4620[[#This Row],[ANO]]+FUTURO!$M$14</f>
        <v>67.098630136986301</v>
      </c>
      <c r="Q26" s="66">
        <f t="shared" ca="1" si="2"/>
        <v>-8389178.4971620105</v>
      </c>
      <c r="R26" s="66">
        <f ca="1">FUTURO!$C$26*Tabela4620[[#This Row],[PL]]+(FUTURO!$C$32*12)</f>
        <v>-155567.13988648041</v>
      </c>
      <c r="S26" s="64">
        <f>FUTURO!$C$38*12</f>
        <v>600000</v>
      </c>
      <c r="T26" s="66">
        <f>FUTURO!C38-V26</f>
        <v>50000</v>
      </c>
    </row>
    <row r="27" spans="5:20" x14ac:dyDescent="0.3">
      <c r="E27" s="67">
        <f ca="1">Tabela1[[#This Row],[Ano]]+FUTURO!$M$11</f>
        <v>63.098630136986301</v>
      </c>
      <c r="F27" s="65">
        <f t="shared" si="3"/>
        <v>23</v>
      </c>
      <c r="G27" s="68">
        <f>Tabela1[[#This Row],[TotalAcumulado]]-Tabela1[[#This Row],[Total Investido]]</f>
        <v>31812703.556609474</v>
      </c>
      <c r="H27" s="68">
        <f>H26+(FUTURO!$C$14*12)</f>
        <v>8668000</v>
      </c>
      <c r="I27" s="68">
        <f>Tabela1[[#This Row],[Juros]]</f>
        <v>31812703.556609474</v>
      </c>
      <c r="J27" s="68">
        <f>-FV(C3,Tabela1[[#This Row],[Ano]]*12,FUTURO!$C$14,FUTURO!$C$11,)</f>
        <v>40480703.556609474</v>
      </c>
      <c r="O27" s="67">
        <f t="shared" si="1"/>
        <v>23</v>
      </c>
      <c r="P27" s="67">
        <f ca="1">Tabela4620[[#This Row],[ANO]]+FUTURO!$M$14</f>
        <v>68.098630136986301</v>
      </c>
      <c r="Q27" s="66">
        <f t="shared" ca="1" si="2"/>
        <v>-9144745.6370484903</v>
      </c>
      <c r="R27" s="66">
        <f ca="1">FUTURO!$C$26*Tabela4620[[#This Row],[PL]]+(FUTURO!$C$32*12)</f>
        <v>-185789.8254819396</v>
      </c>
      <c r="S27" s="64">
        <f>FUTURO!$C$38*12</f>
        <v>600000</v>
      </c>
      <c r="T27" s="66">
        <f>FUTURO!C38-V27</f>
        <v>50000</v>
      </c>
    </row>
    <row r="28" spans="5:20" x14ac:dyDescent="0.3">
      <c r="E28" s="67">
        <f ca="1">Tabela1[[#This Row],[Ano]]+FUTURO!$M$11</f>
        <v>64.098630136986301</v>
      </c>
      <c r="F28" s="65">
        <f t="shared" si="3"/>
        <v>24</v>
      </c>
      <c r="G28" s="68">
        <f>Tabela1[[#This Row],[TotalAcumulado]]-Tabela1[[#This Row],[Total Investido]]</f>
        <v>36405307.717907734</v>
      </c>
      <c r="H28" s="68">
        <f>H27+(FUTURO!$C$14*12)</f>
        <v>9028000</v>
      </c>
      <c r="I28" s="68">
        <f>Tabela1[[#This Row],[Juros]]</f>
        <v>36405307.717907734</v>
      </c>
      <c r="J28" s="68">
        <f>-FV(C3,Tabela1[[#This Row],[Ano]]*12,FUTURO!$C$14,FUTURO!$C$11,)</f>
        <v>45433307.717907734</v>
      </c>
      <c r="O28" s="67">
        <f t="shared" si="1"/>
        <v>24</v>
      </c>
      <c r="P28" s="67">
        <f ca="1">Tabela4620[[#This Row],[ANO]]+FUTURO!$M$14</f>
        <v>69.098630136986301</v>
      </c>
      <c r="Q28" s="66">
        <f t="shared" ca="1" si="2"/>
        <v>-9930535.4625304304</v>
      </c>
      <c r="R28" s="66">
        <f ca="1">FUTURO!$C$26*Tabela4620[[#This Row],[PL]]+(FUTURO!$C$32*12)</f>
        <v>-217221.41850121721</v>
      </c>
      <c r="S28" s="64">
        <f>FUTURO!$C$38*12</f>
        <v>600000</v>
      </c>
      <c r="T28" s="66">
        <f>FUTURO!C38-V28</f>
        <v>50000</v>
      </c>
    </row>
    <row r="29" spans="5:20" x14ac:dyDescent="0.3">
      <c r="E29" s="67">
        <f ca="1">Tabela1[[#This Row],[Ano]]+FUTURO!$M$11</f>
        <v>65.098630136986301</v>
      </c>
      <c r="F29" s="65">
        <f t="shared" si="3"/>
        <v>25</v>
      </c>
      <c r="G29" s="68">
        <f>Tabela1[[#This Row],[TotalAcumulado]]-Tabela1[[#This Row],[Total Investido]]</f>
        <v>41557556.149432704</v>
      </c>
      <c r="H29" s="68">
        <f>H28+(FUTURO!$C$14*12)</f>
        <v>9388000</v>
      </c>
      <c r="I29" s="68">
        <f>Tabela1[[#This Row],[Juros]]</f>
        <v>41557556.149432704</v>
      </c>
      <c r="J29" s="68">
        <f>-FV(C3,Tabela1[[#This Row],[Ano]]*12,FUTURO!$C$14,FUTURO!$C$11,)</f>
        <v>50945556.149432704</v>
      </c>
      <c r="O29" s="67">
        <f t="shared" si="1"/>
        <v>25</v>
      </c>
      <c r="P29" s="67">
        <f ca="1">Tabela4620[[#This Row],[ANO]]+FUTURO!$M$14</f>
        <v>70.098630136986301</v>
      </c>
      <c r="Q29" s="66">
        <f t="shared" ca="1" si="2"/>
        <v>-10747756.881031647</v>
      </c>
      <c r="R29" s="66">
        <f ca="1">FUTURO!$C$26*Tabela4620[[#This Row],[PL]]+(FUTURO!$C$32*12)</f>
        <v>-249910.27524126589</v>
      </c>
      <c r="S29" s="64">
        <f>FUTURO!$C$38*12</f>
        <v>600000</v>
      </c>
      <c r="T29" s="66">
        <f>FUTURO!C38-V29</f>
        <v>50000</v>
      </c>
    </row>
    <row r="30" spans="5:20" x14ac:dyDescent="0.3">
      <c r="E30" s="67">
        <f ca="1">Tabela1[[#This Row],[Ano]]+FUTURO!$M$11</f>
        <v>66.098630136986301</v>
      </c>
      <c r="F30" s="65">
        <f t="shared" si="3"/>
        <v>26</v>
      </c>
      <c r="G30" s="68">
        <f>Tabela1[[#This Row],[TotalAcumulado]]-Tabela1[[#This Row],[Total Investido]]</f>
        <v>47332688.653720006</v>
      </c>
      <c r="H30" s="68">
        <f>H29+(FUTURO!$C$14*12)</f>
        <v>9748000</v>
      </c>
      <c r="I30" s="68">
        <f>Tabela1[[#This Row],[Juros]]</f>
        <v>47332688.653720006</v>
      </c>
      <c r="J30" s="68">
        <f>-FV(C3,Tabela1[[#This Row],[Ano]]*12,FUTURO!$C$14,FUTURO!$C$11,)</f>
        <v>57080688.653720006</v>
      </c>
      <c r="O30" s="67">
        <f t="shared" si="1"/>
        <v>26</v>
      </c>
      <c r="P30" s="67">
        <f ca="1">Tabela4620[[#This Row],[ANO]]+FUTURO!$M$14</f>
        <v>71.098630136986301</v>
      </c>
      <c r="Q30" s="66">
        <f t="shared" ca="1" si="2"/>
        <v>-11597667.156272912</v>
      </c>
      <c r="R30" s="66">
        <f ca="1">FUTURO!$C$26*Tabela4620[[#This Row],[PL]]+(FUTURO!$C$32*12)</f>
        <v>-283906.68625091651</v>
      </c>
      <c r="S30" s="64">
        <f>FUTURO!$C$38*12</f>
        <v>600000</v>
      </c>
      <c r="T30" s="66">
        <f>FUTURO!C38-V30</f>
        <v>50000</v>
      </c>
    </row>
    <row r="31" spans="5:20" x14ac:dyDescent="0.3">
      <c r="E31" s="67"/>
      <c r="F31" s="65"/>
      <c r="G31" s="68"/>
      <c r="H31" s="66"/>
      <c r="I31" s="68"/>
      <c r="J31" s="68"/>
      <c r="O31" s="67">
        <f t="shared" si="1"/>
        <v>27</v>
      </c>
      <c r="P31" s="67">
        <f ca="1">Tabela4620[[#This Row],[ANO]]+FUTURO!$M$14</f>
        <v>72.098630136986301</v>
      </c>
      <c r="Q31" s="66">
        <f t="shared" ca="1" si="2"/>
        <v>-12481573.842523828</v>
      </c>
      <c r="R31" s="66">
        <f ca="1">FUTURO!$C$26*Tabela4620[[#This Row],[PL]]+(FUTURO!$C$32*12)</f>
        <v>-319262.95370095316</v>
      </c>
      <c r="S31" s="64">
        <f>FUTURO!$C$38*12</f>
        <v>600000</v>
      </c>
      <c r="T31" s="66">
        <f>FUTURO!C38-V31</f>
        <v>50000</v>
      </c>
    </row>
    <row r="32" spans="5:20" x14ac:dyDescent="0.3">
      <c r="E32" s="67"/>
      <c r="F32" s="65"/>
      <c r="G32" s="68"/>
      <c r="H32" s="66"/>
      <c r="I32" s="68"/>
      <c r="J32" s="68"/>
      <c r="O32" s="67">
        <f t="shared" si="1"/>
        <v>28</v>
      </c>
      <c r="P32" s="67">
        <f ca="1">Tabela4620[[#This Row],[ANO]]+FUTURO!$M$14</f>
        <v>73.098630136986301</v>
      </c>
      <c r="Q32" s="66">
        <f t="shared" ca="1" si="2"/>
        <v>-13400836.79622478</v>
      </c>
      <c r="R32" s="66">
        <f ca="1">FUTURO!$C$26*Tabela4620[[#This Row],[PL]]+(FUTURO!$C$32*12)</f>
        <v>-356033.47184899123</v>
      </c>
      <c r="S32" s="64">
        <f>FUTURO!$C$38*12</f>
        <v>600000</v>
      </c>
      <c r="T32" s="66">
        <f>FUTURO!C38-V32</f>
        <v>50000</v>
      </c>
    </row>
    <row r="33" spans="5:20" x14ac:dyDescent="0.3">
      <c r="E33" s="67"/>
      <c r="F33" s="65"/>
      <c r="G33" s="68"/>
      <c r="H33" s="66"/>
      <c r="I33" s="68"/>
      <c r="J33" s="68"/>
      <c r="O33" s="67">
        <f t="shared" si="1"/>
        <v>29</v>
      </c>
      <c r="P33" s="67">
        <f ca="1">Tabela4620[[#This Row],[ANO]]+FUTURO!$M$14</f>
        <v>74.098630136986301</v>
      </c>
      <c r="Q33" s="66">
        <f t="shared" ca="1" si="2"/>
        <v>-14356870.268073771</v>
      </c>
      <c r="R33" s="66">
        <f ca="1">FUTURO!$C$26*Tabela4620[[#This Row],[PL]]+(FUTURO!$C$32*12)</f>
        <v>-394274.81072295085</v>
      </c>
      <c r="S33" s="64">
        <f>FUTURO!$C$38*12</f>
        <v>600000</v>
      </c>
      <c r="T33" s="66">
        <f>FUTURO!C38-V33</f>
        <v>50000</v>
      </c>
    </row>
    <row r="34" spans="5:20" x14ac:dyDescent="0.3">
      <c r="E34" s="67"/>
      <c r="F34" s="65"/>
      <c r="G34" s="68"/>
      <c r="H34" s="66"/>
      <c r="I34" s="68"/>
      <c r="J34" s="68"/>
      <c r="O34" s="67">
        <f t="shared" si="1"/>
        <v>30</v>
      </c>
      <c r="P34" s="67">
        <f ca="1">Tabela4620[[#This Row],[ANO]]+FUTURO!$M$14</f>
        <v>75.098630136986301</v>
      </c>
      <c r="Q34" s="66">
        <f t="shared" ca="1" si="2"/>
        <v>-15351145.078796722</v>
      </c>
      <c r="R34" s="66">
        <f ca="1">FUTURO!$C$26*Tabela4620[[#This Row],[PL]]+(FUTURO!$C$32*12)</f>
        <v>-434045.80315186887</v>
      </c>
      <c r="S34" s="64">
        <f>FUTURO!$C$38*12</f>
        <v>600000</v>
      </c>
      <c r="T34" s="66">
        <f>FUTURO!C38-V34</f>
        <v>50000</v>
      </c>
    </row>
    <row r="35" spans="5:20" x14ac:dyDescent="0.3">
      <c r="E35" s="67"/>
      <c r="F35" s="65"/>
      <c r="G35" s="68"/>
      <c r="H35" s="66"/>
      <c r="I35" s="68"/>
      <c r="J35" s="68"/>
      <c r="O35" s="67">
        <f t="shared" si="1"/>
        <v>31</v>
      </c>
      <c r="P35" s="67">
        <f ca="1">Tabela4620[[#This Row],[ANO]]+FUTURO!$M$14</f>
        <v>76.098630136986301</v>
      </c>
      <c r="Q35" s="66">
        <f t="shared" ca="1" si="2"/>
        <v>-16385190.88194859</v>
      </c>
      <c r="R35" s="66">
        <f ca="1">FUTURO!$C$26*Tabela4620[[#This Row],[PL]]+(FUTURO!$C$32*12)</f>
        <v>-475407.63527794357</v>
      </c>
      <c r="S35" s="64">
        <f>FUTURO!$C$38*12</f>
        <v>600000</v>
      </c>
      <c r="T35" s="66">
        <f>FUTURO!C38-V35</f>
        <v>50000</v>
      </c>
    </row>
    <row r="36" spans="5:20" x14ac:dyDescent="0.3">
      <c r="E36" s="67"/>
      <c r="F36" s="65"/>
      <c r="G36" s="68"/>
      <c r="H36" s="66"/>
      <c r="I36" s="68"/>
      <c r="J36" s="68"/>
      <c r="O36" s="67">
        <f t="shared" si="1"/>
        <v>32</v>
      </c>
      <c r="P36" s="67">
        <f ca="1">Tabela4620[[#This Row],[ANO]]+FUTURO!$M$14</f>
        <v>77.098630136986301</v>
      </c>
      <c r="Q36" s="66">
        <f t="shared" ca="1" si="2"/>
        <v>-17460598.517226532</v>
      </c>
      <c r="R36" s="66">
        <f ca="1">FUTURO!$C$26*Tabela4620[[#This Row],[PL]]+(FUTURO!$C$32*12)</f>
        <v>-518423.9406890613</v>
      </c>
      <c r="S36" s="64">
        <f>FUTURO!$C$38*12</f>
        <v>600000</v>
      </c>
      <c r="T36" s="66">
        <f>FUTURO!C38-V36</f>
        <v>50000</v>
      </c>
    </row>
    <row r="37" spans="5:20" x14ac:dyDescent="0.3">
      <c r="E37" s="67"/>
      <c r="F37" s="65"/>
      <c r="G37" s="68"/>
      <c r="H37" s="66"/>
      <c r="I37" s="68"/>
      <c r="J37" s="68"/>
      <c r="O37" s="67">
        <f t="shared" si="1"/>
        <v>33</v>
      </c>
      <c r="P37" s="67">
        <f ca="1">Tabela4620[[#This Row],[ANO]]+FUTURO!$M$14</f>
        <v>78.098630136986301</v>
      </c>
      <c r="Q37" s="66">
        <f t="shared" ca="1" si="2"/>
        <v>-18579022.457915593</v>
      </c>
      <c r="R37" s="66">
        <f ca="1">FUTURO!$C$26*Tabela4620[[#This Row],[PL]]+(FUTURO!$C$32*12)</f>
        <v>-563160.89831662376</v>
      </c>
      <c r="S37" s="64">
        <f>FUTURO!$C$38*12</f>
        <v>600000</v>
      </c>
      <c r="T37" s="66">
        <f>FUTURO!C38-V37</f>
        <v>50000</v>
      </c>
    </row>
    <row r="38" spans="5:20" x14ac:dyDescent="0.3">
      <c r="E38" s="67"/>
      <c r="F38" s="65"/>
      <c r="G38" s="68"/>
      <c r="H38" s="66"/>
      <c r="I38" s="68"/>
      <c r="J38" s="68"/>
      <c r="O38" s="67">
        <f t="shared" si="1"/>
        <v>34</v>
      </c>
      <c r="P38" s="67">
        <f ca="1">Tabela4620[[#This Row],[ANO]]+FUTURO!$M$14</f>
        <v>79.098630136986301</v>
      </c>
      <c r="Q38" s="66">
        <f t="shared" ca="1" si="2"/>
        <v>-19742183.356232218</v>
      </c>
      <c r="R38" s="66">
        <f ca="1">FUTURO!$C$26*Tabela4620[[#This Row],[PL]]+(FUTURO!$C$32*12)</f>
        <v>-609687.33424928878</v>
      </c>
      <c r="S38" s="64">
        <f>FUTURO!$C$38*12</f>
        <v>600000</v>
      </c>
      <c r="T38" s="66">
        <f>FUTURO!C38-V38</f>
        <v>50000</v>
      </c>
    </row>
    <row r="39" spans="5:20" x14ac:dyDescent="0.3">
      <c r="E39" s="67"/>
      <c r="F39" s="65"/>
      <c r="G39" s="68"/>
      <c r="H39" s="66"/>
      <c r="I39" s="68"/>
      <c r="J39" s="68"/>
      <c r="O39" s="67">
        <f t="shared" si="1"/>
        <v>35</v>
      </c>
      <c r="P39" s="67">
        <f ca="1">Tabela4620[[#This Row],[ANO]]+FUTURO!$M$14</f>
        <v>80.098630136986301</v>
      </c>
      <c r="Q39" s="66">
        <f t="shared" ca="1" si="2"/>
        <v>-20951870.690481506</v>
      </c>
      <c r="R39" s="66">
        <f ca="1">FUTURO!$C$26*Tabela4620[[#This Row],[PL]]+(FUTURO!$C$32*12)</f>
        <v>-658074.82761926029</v>
      </c>
      <c r="S39" s="64">
        <f>FUTURO!$C$38*12</f>
        <v>600000</v>
      </c>
      <c r="T39" s="66">
        <f>FUTURO!C38-V39</f>
        <v>50000</v>
      </c>
    </row>
    <row r="40" spans="5:20" x14ac:dyDescent="0.3">
      <c r="E40" s="67"/>
      <c r="F40" s="65"/>
      <c r="G40" s="68"/>
      <c r="H40" s="66"/>
      <c r="I40" s="68"/>
      <c r="J40" s="68"/>
      <c r="O40" s="67">
        <f t="shared" si="1"/>
        <v>36</v>
      </c>
      <c r="P40" s="67">
        <f ca="1">Tabela4620[[#This Row],[ANO]]+FUTURO!$M$14</f>
        <v>81.098630136986301</v>
      </c>
      <c r="Q40" s="66">
        <f t="shared" ca="1" si="2"/>
        <v>-22209945.518100768</v>
      </c>
      <c r="R40" s="66">
        <f ca="1">FUTURO!$C$26*Tabela4620[[#This Row],[PL]]+(FUTURO!$C$32*12)</f>
        <v>-708397.82072403072</v>
      </c>
      <c r="S40" s="64">
        <f>FUTURO!$C$38*12</f>
        <v>600000</v>
      </c>
      <c r="T40" s="66">
        <f>FUTURO!C38-V40</f>
        <v>50000</v>
      </c>
    </row>
    <row r="41" spans="5:20" x14ac:dyDescent="0.3">
      <c r="O41" s="67">
        <f t="shared" si="1"/>
        <v>37</v>
      </c>
      <c r="P41" s="67">
        <f ca="1">Tabela4620[[#This Row],[ANO]]+FUTURO!$M$14</f>
        <v>82.098630136986301</v>
      </c>
      <c r="Q41" s="66">
        <f t="shared" ca="1" si="2"/>
        <v>-23518343.338824797</v>
      </c>
      <c r="R41" s="66">
        <f ca="1">FUTURO!$C$26*Tabela4620[[#This Row],[PL]]+(FUTURO!$C$32*12)</f>
        <v>-760733.73355299188</v>
      </c>
      <c r="S41" s="64">
        <f>FUTURO!$C$38*12</f>
        <v>600000</v>
      </c>
      <c r="T41" s="66">
        <f>FUTURO!C38-V41</f>
        <v>50000</v>
      </c>
    </row>
    <row r="42" spans="5:20" x14ac:dyDescent="0.3">
      <c r="O42" s="67">
        <f t="shared" si="1"/>
        <v>38</v>
      </c>
      <c r="P42" s="67">
        <f ca="1">Tabela4620[[#This Row],[ANO]]+FUTURO!$M$14</f>
        <v>83.098630136986301</v>
      </c>
      <c r="Q42" s="66">
        <f t="shared" ca="1" si="2"/>
        <v>-24879077.07237779</v>
      </c>
      <c r="R42" s="66">
        <f ca="1">FUTURO!$C$26*Tabela4620[[#This Row],[PL]]+(FUTURO!$C$32*12)</f>
        <v>-815163.08289511164</v>
      </c>
      <c r="S42" s="64">
        <f>FUTURO!$C$38*12</f>
        <v>600000</v>
      </c>
      <c r="T42" s="66">
        <f>FUTURO!C38-V42</f>
        <v>50000</v>
      </c>
    </row>
    <row r="43" spans="5:20" x14ac:dyDescent="0.3">
      <c r="O43" s="67">
        <f t="shared" si="1"/>
        <v>39</v>
      </c>
      <c r="P43" s="67">
        <f ca="1">Tabela4620[[#This Row],[ANO]]+FUTURO!$M$14</f>
        <v>84.098630136986301</v>
      </c>
      <c r="Q43" s="66">
        <f t="shared" ca="1" si="2"/>
        <v>-26294240.155272901</v>
      </c>
      <c r="R43" s="66">
        <f ca="1">FUTURO!$C$26*Tabela4620[[#This Row],[PL]]+(FUTURO!$C$32*12)</f>
        <v>-871769.60621091607</v>
      </c>
      <c r="S43" s="64">
        <f>FUTURO!$C$38*12</f>
        <v>600000</v>
      </c>
      <c r="T43" s="66">
        <f>FUTURO!C38-V43</f>
        <v>50000</v>
      </c>
    </row>
    <row r="44" spans="5:20" x14ac:dyDescent="0.3">
      <c r="O44" s="67">
        <f t="shared" si="1"/>
        <v>40</v>
      </c>
      <c r="P44" s="67">
        <f ca="1">Tabela4620[[#This Row],[ANO]]+FUTURO!$M$14</f>
        <v>85.098630136986301</v>
      </c>
      <c r="Q44" s="66">
        <f t="shared" ca="1" si="2"/>
        <v>-27766009.761483818</v>
      </c>
      <c r="R44" s="66">
        <f ca="1">FUTURO!$C$26*Tabela4620[[#This Row],[PL]]+(FUTURO!$C$32*12)</f>
        <v>-930640.39045935264</v>
      </c>
      <c r="S44" s="64">
        <f>FUTURO!$C$38*12</f>
        <v>600000</v>
      </c>
      <c r="T44" s="66">
        <f>FUTURO!C38-V44</f>
        <v>50000</v>
      </c>
    </row>
    <row r="45" spans="5:20" x14ac:dyDescent="0.3">
      <c r="O45" s="67">
        <f t="shared" si="1"/>
        <v>41</v>
      </c>
      <c r="P45" s="67">
        <f ca="1">Tabela4620[[#This Row],[ANO]]+FUTURO!$M$14</f>
        <v>86.098630136986301</v>
      </c>
      <c r="Q45" s="66">
        <f t="shared" ca="1" si="2"/>
        <v>-29296650.15194317</v>
      </c>
      <c r="R45" s="66">
        <f ca="1">FUTURO!$C$26*Tabela4620[[#This Row],[PL]]+(FUTURO!$C$32*12)</f>
        <v>-991866.00607772684</v>
      </c>
      <c r="S45" s="64">
        <f>FUTURO!$C$38*12</f>
        <v>600000</v>
      </c>
      <c r="T45" s="66">
        <f>FUTURO!C38-V45</f>
        <v>50000</v>
      </c>
    </row>
    <row r="46" spans="5:20" x14ac:dyDescent="0.3">
      <c r="O46" s="67">
        <f t="shared" si="1"/>
        <v>42</v>
      </c>
      <c r="P46" s="67">
        <f ca="1">Tabela4620[[#This Row],[ANO]]+FUTURO!$M$14</f>
        <v>87.098630136986301</v>
      </c>
      <c r="Q46" s="66">
        <f t="shared" ca="1" si="2"/>
        <v>-30888516.158020895</v>
      </c>
      <c r="R46" s="66">
        <f ca="1">FUTURO!$C$26*Tabela4620[[#This Row],[PL]]+(FUTURO!$C$32*12)</f>
        <v>-1055540.6463208359</v>
      </c>
      <c r="S46" s="64">
        <f>FUTURO!$C$38*12</f>
        <v>600000</v>
      </c>
      <c r="T46" s="66">
        <f>FUTURO!C38-V46</f>
        <v>50000</v>
      </c>
    </row>
    <row r="47" spans="5:20" x14ac:dyDescent="0.3">
      <c r="O47" s="67">
        <f t="shared" si="1"/>
        <v>43</v>
      </c>
      <c r="P47" s="67">
        <f ca="1">Tabela4620[[#This Row],[ANO]]+FUTURO!$M$14</f>
        <v>88.098630136986301</v>
      </c>
      <c r="Q47" s="66">
        <f t="shared" ca="1" si="2"/>
        <v>-32544056.80434173</v>
      </c>
      <c r="R47" s="66">
        <f ca="1">FUTURO!$C$26*Tabela4620[[#This Row],[PL]]+(FUTURO!$C$32*12)</f>
        <v>-1121762.2721736692</v>
      </c>
      <c r="S47" s="64">
        <f>FUTURO!$C$38*12</f>
        <v>600000</v>
      </c>
      <c r="T47" s="66">
        <f>FUTURO!C38-V47</f>
        <v>50000</v>
      </c>
    </row>
    <row r="48" spans="5:20" x14ac:dyDescent="0.3">
      <c r="O48" s="67">
        <f t="shared" si="1"/>
        <v>44</v>
      </c>
      <c r="P48" s="67">
        <f ca="1">Tabela4620[[#This Row],[ANO]]+FUTURO!$M$14</f>
        <v>89.098630136986301</v>
      </c>
      <c r="Q48" s="66">
        <f t="shared" ca="1" si="2"/>
        <v>-34265819.076515399</v>
      </c>
      <c r="R48" s="66">
        <f ca="1">FUTURO!$C$26*Tabela4620[[#This Row],[PL]]+(FUTURO!$C$32*12)</f>
        <v>-1190632.7630606161</v>
      </c>
      <c r="S48" s="64">
        <f>FUTURO!$C$38*12</f>
        <v>600000</v>
      </c>
      <c r="T48" s="66">
        <f>FUTURO!C38-V48</f>
        <v>50000</v>
      </c>
    </row>
    <row r="49" spans="15:20" x14ac:dyDescent="0.3">
      <c r="O49" s="67">
        <f t="shared" si="1"/>
        <v>45</v>
      </c>
      <c r="P49" s="67">
        <f ca="1">Tabela4620[[#This Row],[ANO]]+FUTURO!$M$14</f>
        <v>90.098630136986301</v>
      </c>
      <c r="Q49" s="66">
        <f t="shared" ca="1" si="2"/>
        <v>-36056451.839576013</v>
      </c>
      <c r="R49" s="66">
        <f ca="1">FUTURO!$C$26*Tabela4620[[#This Row],[PL]]+(FUTURO!$C$32*12)</f>
        <v>-1262258.0735830406</v>
      </c>
      <c r="S49" s="64">
        <f>FUTURO!$C$38*12</f>
        <v>600000</v>
      </c>
      <c r="T49" s="66">
        <f>FUTURO!C38-V49</f>
        <v>50000</v>
      </c>
    </row>
    <row r="50" spans="15:20" x14ac:dyDescent="0.3">
      <c r="O50" s="67">
        <f t="shared" si="1"/>
        <v>46</v>
      </c>
      <c r="P50" s="67">
        <f ca="1">Tabela4620[[#This Row],[ANO]]+FUTURO!$M$14</f>
        <v>91.098630136986301</v>
      </c>
      <c r="Q50" s="66">
        <f t="shared" ca="1" si="2"/>
        <v>-37918709.913159057</v>
      </c>
      <c r="R50" s="66">
        <f ca="1">FUTURO!$C$26*Tabela4620[[#This Row],[PL]]+(FUTURO!$C$32*12)</f>
        <v>-1336748.3965263623</v>
      </c>
      <c r="S50" s="64">
        <f>FUTURO!$C$38*12</f>
        <v>600000</v>
      </c>
      <c r="T50" s="66">
        <f>FUTURO!C38-V50</f>
        <v>50000</v>
      </c>
    </row>
    <row r="51" spans="15:20" x14ac:dyDescent="0.3">
      <c r="O51" s="67">
        <f t="shared" si="1"/>
        <v>47</v>
      </c>
      <c r="P51" s="67">
        <f ca="1">Tabela4620[[#This Row],[ANO]]+FUTURO!$M$14</f>
        <v>92.098630136986301</v>
      </c>
      <c r="Q51" s="66">
        <f t="shared" ca="1" si="2"/>
        <v>-39855458.309685417</v>
      </c>
      <c r="R51" s="66">
        <f ca="1">FUTURO!$C$26*Tabela4620[[#This Row],[PL]]+(FUTURO!$C$32*12)</f>
        <v>-1414218.3323874166</v>
      </c>
      <c r="S51" s="64">
        <f>FUTURO!$C$38*12</f>
        <v>600000</v>
      </c>
      <c r="T51" s="66">
        <f>FUTURO!C38-V51</f>
        <v>50000</v>
      </c>
    </row>
    <row r="52" spans="15:20" x14ac:dyDescent="0.3">
      <c r="O52" s="67">
        <f t="shared" si="1"/>
        <v>48</v>
      </c>
      <c r="P52" s="67">
        <f ca="1">Tabela4620[[#This Row],[ANO]]+FUTURO!$M$14</f>
        <v>93.098630136986301</v>
      </c>
      <c r="Q52" s="66">
        <f t="shared" ca="1" si="2"/>
        <v>-41869676.642072834</v>
      </c>
      <c r="R52" s="66">
        <f ca="1">FUTURO!$C$26*Tabela4620[[#This Row],[PL]]+(FUTURO!$C$32*12)</f>
        <v>-1494787.0656829134</v>
      </c>
      <c r="S52" s="64">
        <f>FUTURO!$C$38*12</f>
        <v>600000</v>
      </c>
      <c r="T52" s="66">
        <f>FUTURO!C38-V52</f>
        <v>50000</v>
      </c>
    </row>
    <row r="53" spans="15:20" x14ac:dyDescent="0.3">
      <c r="O53" s="67">
        <f t="shared" si="1"/>
        <v>49</v>
      </c>
      <c r="P53" s="67">
        <f ca="1">Tabela4620[[#This Row],[ANO]]+FUTURO!$M$14</f>
        <v>94.098630136986301</v>
      </c>
      <c r="Q53" s="66">
        <f t="shared" ca="1" si="2"/>
        <v>-43964463.707755744</v>
      </c>
      <c r="R53" s="66">
        <f ca="1">FUTURO!$C$26*Tabela4620[[#This Row],[PL]]+(FUTURO!$C$32*12)</f>
        <v>-1578578.5483102298</v>
      </c>
      <c r="S53" s="64">
        <f>FUTURO!$C$38*12</f>
        <v>600000</v>
      </c>
      <c r="T53" s="66">
        <f>FUTURO!C38-V53</f>
        <v>50000</v>
      </c>
    </row>
    <row r="54" spans="15:20" x14ac:dyDescent="0.3">
      <c r="O54" s="67">
        <f t="shared" si="1"/>
        <v>50</v>
      </c>
      <c r="P54" s="67">
        <f ca="1">Tabela4620[[#This Row],[ANO]]+FUTURO!$M$14</f>
        <v>95.098630136986301</v>
      </c>
      <c r="Q54" s="66">
        <f t="shared" ca="1" si="2"/>
        <v>-46143042.256065972</v>
      </c>
      <c r="R54" s="66">
        <f ca="1">FUTURO!$C$26*Tabela4620[[#This Row],[PL]]+(FUTURO!$C$32*12)</f>
        <v>-1665721.6902426388</v>
      </c>
      <c r="S54" s="64">
        <f>FUTURO!$C$38*12</f>
        <v>600000</v>
      </c>
      <c r="T54" s="66">
        <f>FUTURO!C38-V54</f>
        <v>50000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301E24-E208-413C-9BEB-AD3FA140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Visão 360°</vt:lpstr>
      <vt:lpstr>FUTURO</vt:lpstr>
      <vt:lpstr>Controle</vt:lpstr>
      <vt:lpstr>Resultados</vt:lpstr>
      <vt:lpstr>SUCESSÓRIO</vt:lpstr>
      <vt:lpstr>Base PFi</vt:lpstr>
      <vt:lpstr>Resultados!Area_de_impressao</vt:lpstr>
      <vt:lpstr>'Visão 360°'!Titulos_de_impressao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Santos</dc:creator>
  <cp:lastModifiedBy>Luiz Sene</cp:lastModifiedBy>
  <dcterms:created xsi:type="dcterms:W3CDTF">2024-06-24T16:42:45Z</dcterms:created>
  <dcterms:modified xsi:type="dcterms:W3CDTF">2026-03-11T12:05:42Z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7D1BA4CDF09CD042!sdeb8610cc75442fbabdbde6cccd43275</vt:lpwstr>
  </property>
  <property fmtid="{D5CDD505-2E9C-101B-9397-08002B2CF9AE}" pid="3" name="coeff_is_local_file">
    <vt:lpwstr>false</vt:lpwstr>
  </property>
</Properties>
</file>